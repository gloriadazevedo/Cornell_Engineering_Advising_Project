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6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drawings/drawing7.xml" ContentType="application/vnd.openxmlformats-officedocument.drawing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lori\Documents\Cornell_Backup\CapstoneProject\"/>
    </mc:Choice>
  </mc:AlternateContent>
  <bookViews>
    <workbookView xWindow="0" yWindow="0" windowWidth="19200" windowHeight="7250" tabRatio="832"/>
  </bookViews>
  <sheets>
    <sheet name="Student_Data" sheetId="1" r:id="rId1"/>
    <sheet name="Advisor_Data" sheetId="2" r:id="rId2"/>
    <sheet name="Advisor_Preference_Data" sheetId="6" state="hidden" r:id="rId3"/>
    <sheet name="Course_Conflict_Data_Sheet" sheetId="7" state="hidden" r:id="rId4"/>
    <sheet name="New_Full_Student_Data" sheetId="5" state="hidden" r:id="rId5"/>
    <sheet name="Course_Conflict_Data" sheetId="3" r:id="rId6"/>
    <sheet name="Dashboard" sheetId="4" r:id="rId7"/>
    <sheet name="Add_Students" sheetId="14" r:id="rId8"/>
    <sheet name="Solution_Output" sheetId="11" state="hidden" r:id="rId9"/>
    <sheet name="Student_Matching" sheetId="9" r:id="rId10"/>
    <sheet name="Advisor_Schedule" sheetId="10" r:id="rId11"/>
    <sheet name="General_Stats" sheetId="12" r:id="rId12"/>
    <sheet name="Section_Stats" sheetId="13" r:id="rId13"/>
  </sheets>
  <functionGroups builtInGroupCount="18"/>
  <definedNames>
    <definedName name="_xlnm._FilterDatabase" localSheetId="1" hidden="1">Advisor_Data!$B$7:$K$52</definedName>
    <definedName name="_xlnm._FilterDatabase" localSheetId="5" hidden="1">Course_Conflict_Data!$B$7:$H$32</definedName>
    <definedName name="Add_Student_Header">Add_Students!$A$6</definedName>
    <definedName name="Advisor_Data">Advisor_Data!$B$7:$G$104</definedName>
    <definedName name="Advisor_Department">Advisor_Data!$E$7</definedName>
    <definedName name="Advisor_Headings">Advisor_Data!$B$7:$K$7</definedName>
    <definedName name="Advisor_ID">Advisor_Data!$B$7</definedName>
    <definedName name="Advisor_Schedule_Start">Advisor_Schedule!$A$5</definedName>
    <definedName name="AdvisorScheduleOutput" localSheetId="10">Advisor_Schedule!$A$6:$B$46</definedName>
    <definedName name="AdvisorScheduleOutput_1" localSheetId="10">Advisor_Schedule!$A$5:$B$46</definedName>
    <definedName name="AdvisorScheduleOutput_10" localSheetId="10">Advisor_Schedule!$A$5:$B$50</definedName>
    <definedName name="AdvisorScheduleOutput_11" localSheetId="10">Advisor_Schedule!$A$5:$B$47</definedName>
    <definedName name="AdvisorScheduleOutput_12" localSheetId="10">Advisor_Schedule!$A$5:$B$50</definedName>
    <definedName name="AdvisorScheduleOutput_13" localSheetId="10">Advisor_Schedule!$A$5:$B$50</definedName>
    <definedName name="AdvisorScheduleOutput_14" localSheetId="10">Advisor_Schedule!$A$5:$B$50</definedName>
    <definedName name="AdvisorScheduleOutput_15" localSheetId="10">Advisor_Schedule!$A$5:$B$50</definedName>
    <definedName name="AdvisorScheduleOutput_16" localSheetId="10">Advisor_Schedule!$A$5:$B$50</definedName>
    <definedName name="AdvisorScheduleOutput_17" localSheetId="10">Advisor_Schedule!$A$5:$B$50</definedName>
    <definedName name="AdvisorScheduleOutput_18" localSheetId="10">Advisor_Schedule!$A$5:$B$50</definedName>
    <definedName name="AdvisorScheduleOutput_19" localSheetId="10">Advisor_Schedule!$A$5:$B$50</definedName>
    <definedName name="AdvisorScheduleOutput_2" localSheetId="10">Advisor_Schedule!$A$5:$B$46</definedName>
    <definedName name="AdvisorScheduleOutput_20" localSheetId="10">Advisor_Schedule!$A$5:$B$50</definedName>
    <definedName name="AdvisorScheduleOutput_21" localSheetId="10">Advisor_Schedule!$A$5:$B$50</definedName>
    <definedName name="AdvisorScheduleOutput_22" localSheetId="10">Advisor_Schedule!$A$5:$B$50</definedName>
    <definedName name="AdvisorScheduleOutput_23" localSheetId="10">Advisor_Schedule!$A$5:$B$50</definedName>
    <definedName name="AdvisorScheduleOutput_24" localSheetId="10">Advisor_Schedule!$A$5:$B$50</definedName>
    <definedName name="AdvisorScheduleOutput_25" localSheetId="10">Advisor_Schedule!$A$5:$B$50</definedName>
    <definedName name="AdvisorScheduleOutput_26" localSheetId="10">Advisor_Schedule!$A$5:$B$50</definedName>
    <definedName name="AdvisorScheduleOutput_27" localSheetId="10">Advisor_Schedule!$A$5:$B$50</definedName>
    <definedName name="AdvisorScheduleOutput_28" localSheetId="10">Advisor_Schedule!$A$5:$B$50</definedName>
    <definedName name="AdvisorScheduleOutput_29" localSheetId="10">Advisor_Schedule!$A$5:$B$50</definedName>
    <definedName name="AdvisorScheduleOutput_3" localSheetId="10">Advisor_Schedule!$A$5:$B$46</definedName>
    <definedName name="AdvisorScheduleOutput_30" localSheetId="10">Advisor_Schedule!$A$5:$B$46</definedName>
    <definedName name="AdvisorScheduleOutput_31" localSheetId="10">Advisor_Schedule!$A$5:$B$46</definedName>
    <definedName name="AdvisorScheduleOutput_32" localSheetId="10">Advisor_Schedule!$A$5:$B$46</definedName>
    <definedName name="AdvisorScheduleOutput_33" localSheetId="10">Advisor_Schedule!$A$5:$B$46</definedName>
    <definedName name="AdvisorScheduleOutput_34" localSheetId="10">Advisor_Schedule!$A$5:$B$50</definedName>
    <definedName name="AdvisorScheduleOutput_4" localSheetId="10">Advisor_Schedule!$A$5:$B$46</definedName>
    <definedName name="AdvisorScheduleOutput_5" localSheetId="10">Advisor_Schedule!$A$5:$B$46</definedName>
    <definedName name="AdvisorScheduleOutput_6" localSheetId="10">Advisor_Schedule!$A$5:$B$46</definedName>
    <definedName name="AdvisorScheduleOutput_7" localSheetId="10">Advisor_Schedule!$A$5:$B$46</definedName>
    <definedName name="AdvisorScheduleOutput_8" localSheetId="10">Advisor_Schedule!$A$5:$B$46</definedName>
    <definedName name="AdvisorScheduleOutput_9" localSheetId="10">Advisor_Schedule!$A$5:$B$46</definedName>
    <definedName name="Course_Conflict_Data">Course_Conflict_Data!$B$7:$H$34</definedName>
    <definedName name="Course_Conflict_Headings">Course_Conflict_Data!$B$7:$H$7</definedName>
    <definedName name="Error_Printing">Dashboard!$E$20</definedName>
    <definedName name="ErrorPrint" localSheetId="6">Dashboard!$E$20:$E$50</definedName>
    <definedName name="ErrorPrint_1" localSheetId="6">Dashboard!$E$20:$E$22</definedName>
    <definedName name="ErrorPrint_10" localSheetId="6">Dashboard!$E$20:$E$49</definedName>
    <definedName name="ErrorPrint_15" localSheetId="6">Dashboard!$E$20:$E$49</definedName>
    <definedName name="ErrorPrint_16" localSheetId="6">Dashboard!$E$20:$E$49</definedName>
    <definedName name="ErrorPrint_17" localSheetId="6">Dashboard!$E$20:$E$49</definedName>
    <definedName name="ErrorPrint_18" localSheetId="6">Dashboard!$E$20:$E$49</definedName>
    <definedName name="ErrorPrint_19" localSheetId="6">Dashboard!$E$20:$E$49</definedName>
    <definedName name="ErrorPrint_2" localSheetId="6">Dashboard!$E$20:$E$22</definedName>
    <definedName name="ErrorPrint_20" localSheetId="6">Dashboard!$E$20:$E$49</definedName>
    <definedName name="ErrorPrint_21" localSheetId="6">Dashboard!$E$20:$E$49</definedName>
    <definedName name="ErrorPrint_22" localSheetId="6">Dashboard!$E$20:$E$49</definedName>
    <definedName name="ErrorPrint_23" localSheetId="6">Dashboard!$E$20:$E$49</definedName>
    <definedName name="ErrorPrint_24" localSheetId="6">Dashboard!$E$20:$E$49</definedName>
    <definedName name="ErrorPrint_25" localSheetId="6">Dashboard!$E$20:$E$50</definedName>
    <definedName name="ErrorPrint_26" localSheetId="6">Dashboard!$E$20:$E$50</definedName>
    <definedName name="ErrorPrint_27" localSheetId="6">Dashboard!$E$20:$E$50</definedName>
    <definedName name="ErrorPrint_28" localSheetId="6">Dashboard!$E$20:$E$50</definedName>
    <definedName name="ErrorPrint_29" localSheetId="6">Dashboard!$E$20:$E$25</definedName>
    <definedName name="ErrorPrint_3" localSheetId="6">Dashboard!$E$20:$E$25</definedName>
    <definedName name="ErrorPrint_30" localSheetId="6">Dashboard!$E$20:$E$85</definedName>
    <definedName name="ErrorPrint_31" localSheetId="6">Dashboard!$E$20:$E$85</definedName>
    <definedName name="ErrorPrint_32" localSheetId="6">Dashboard!$E$20:$E$85</definedName>
    <definedName name="ErrorPrint_33" localSheetId="6">Dashboard!$E$20:$E$85</definedName>
    <definedName name="ErrorPrint_34" localSheetId="6">Dashboard!$E$20:$E$27</definedName>
    <definedName name="ErrorPrint_35" localSheetId="6">Dashboard!$E$20:$E$27</definedName>
    <definedName name="ErrorPrint_36" localSheetId="6">Dashboard!$E$20:$E$27</definedName>
    <definedName name="ErrorPrint_37" localSheetId="6">Dashboard!$E$20:$E$27</definedName>
    <definedName name="ErrorPrint_38" localSheetId="6">Dashboard!$E$20:$E$27</definedName>
    <definedName name="ErrorPrint_39" localSheetId="6">Dashboard!$E$20:$E$88</definedName>
    <definedName name="ErrorPrint_4" localSheetId="6">Dashboard!$E$20:$E$25</definedName>
    <definedName name="ErrorPrint_40" localSheetId="6">Dashboard!$E$20:$E$88</definedName>
    <definedName name="ErrorPrint_41" localSheetId="6">Dashboard!$E$20:$E$88</definedName>
    <definedName name="ErrorPrint_42" localSheetId="6">Dashboard!$E$20:$E$88</definedName>
    <definedName name="ErrorPrint_43" localSheetId="6">Dashboard!$E$20:$E$88</definedName>
    <definedName name="ErrorPrint_44" localSheetId="6">Dashboard!$E$20:$E$88</definedName>
    <definedName name="ErrorPrint_46" localSheetId="6">Dashboard!$E$20:$E$51</definedName>
    <definedName name="ErrorPrint_47" localSheetId="6">Dashboard!$E$20:$E$51</definedName>
    <definedName name="ErrorPrint_48" localSheetId="6">Dashboard!$E$20:$E$49</definedName>
    <definedName name="ErrorPrint_49" localSheetId="6">Dashboard!$E$20:$E$49</definedName>
    <definedName name="ErrorPrint_5" localSheetId="6">Dashboard!$E$20:$E$49</definedName>
    <definedName name="ErrorPrint_50" localSheetId="6">Dashboard!$E$20:$E$27</definedName>
    <definedName name="ErrorPrint_51" localSheetId="6">Dashboard!$E$20:$E$27</definedName>
    <definedName name="ErrorPrint_52" localSheetId="6">Dashboard!$E$20:$E$27</definedName>
    <definedName name="ErrorPrint_53" localSheetId="6">Dashboard!$E$20:$E$34</definedName>
    <definedName name="ErrorPrint_6" localSheetId="6">Dashboard!$E$20:$E$49</definedName>
    <definedName name="ErrorPrint_7" localSheetId="6">Dashboard!$E$20:$E$49</definedName>
    <definedName name="ErrorPrint_8" localSheetId="6">Dashboard!$E$20:$E$49</definedName>
    <definedName name="ErrorPrint_9" localSheetId="6">Dashboard!$E$20:$E$49</definedName>
    <definedName name="Pairing_Department">Advisor_Data!$C$7</definedName>
    <definedName name="Pairing_Request">Advisor_Data!$D$7</definedName>
    <definedName name="SolutionOutput" localSheetId="8">Solution_Output!$Z$1:$AW$744</definedName>
    <definedName name="SolutionOutput_10" localSheetId="8">Solution_Output!$B$1:$Z$793</definedName>
    <definedName name="SolutionOutput_11" localSheetId="8">Solution_Output!$B$1:$Z$793</definedName>
    <definedName name="SolutionOutput_12" localSheetId="8">Solution_Output!$B$1:$Z$793</definedName>
    <definedName name="SolutionOutput_13" localSheetId="8">Solution_Output!$B$1:$Z$793</definedName>
    <definedName name="SolutionOutput_14" localSheetId="8">Solution_Output!$B$1:$Z$760</definedName>
    <definedName name="SolutionOutput_15" localSheetId="8">Solution_Output!$B$1:$Z$793</definedName>
    <definedName name="SolutionOutput_16" localSheetId="8">Solution_Output!$B$1:$Z$793</definedName>
    <definedName name="SolutionOutput_17" localSheetId="8">Solution_Output!$B$1:$Z$793</definedName>
    <definedName name="SolutionOutput_18" localSheetId="8">Solution_Output!$B$1:$Z$793</definedName>
    <definedName name="SolutionOutput_19" localSheetId="8">Solution_Output!$B$1:$Z$793</definedName>
    <definedName name="SolutionOutput_2" localSheetId="8">Solution_Output!$B$1:$B$793</definedName>
    <definedName name="SolutionOutput_20" localSheetId="8">Solution_Output!$B$1:$Z$793</definedName>
    <definedName name="SolutionOutput_21" localSheetId="8">Solution_Output!$B$1:$Z$793</definedName>
    <definedName name="SolutionOutput_22" localSheetId="8">Solution_Output!$B$1:$Z$793</definedName>
    <definedName name="SolutionOutput_23" localSheetId="8">Solution_Output!$B$1:$Z$793</definedName>
    <definedName name="SolutionOutput_24" localSheetId="8">Solution_Output!$B$1:$Z$793</definedName>
    <definedName name="SolutionOutput_25" localSheetId="8">Solution_Output!$B$1:$Z$793</definedName>
    <definedName name="SolutionOutput_26" localSheetId="8">Solution_Output!$B$1:$Z$793</definedName>
    <definedName name="SolutionOutput_27" localSheetId="8">Solution_Output!$B$1:$Z$793</definedName>
    <definedName name="SolutionOutput_28" localSheetId="8">Solution_Output!$B$1:$Z$793</definedName>
    <definedName name="SolutionOutput_29" localSheetId="8">Solution_Output!$A$1:$Y$793</definedName>
    <definedName name="SolutionOutput_3" localSheetId="8">Solution_Output!$B$1:$B$794</definedName>
    <definedName name="SolutionOutput_30" localSheetId="8">Solution_Output!$A$1:$Y$793</definedName>
    <definedName name="SolutionOutput_31" localSheetId="8">Solution_Output!$A$1:$Y$793</definedName>
    <definedName name="SolutionOutput_32" localSheetId="8">Solution_Output!$A$1:$Y$793</definedName>
    <definedName name="SolutionOutput_4" localSheetId="8">Solution_Output!$B$1:$Y$744</definedName>
    <definedName name="SolutionOutput_5" localSheetId="8">Solution_Output!$B$1:$Y$744</definedName>
    <definedName name="SolutionOutput_6" localSheetId="8">Solution_Output!$B$1:$Y$744</definedName>
    <definedName name="SolutionOutput_7" localSheetId="8">Solution_Output!$B$1:$Y$744</definedName>
    <definedName name="SolutionOutput_8" localSheetId="8">Solution_Output!$B$1:$Z$793</definedName>
    <definedName name="SolutionOutput_9" localSheetId="8">Solution_Output!$B$1:$Z$793</definedName>
    <definedName name="Student_Data">Student_Data!$B$8:$S$905</definedName>
    <definedName name="Student_Headings">Student_Data!$B$8:$S$8</definedName>
    <definedName name="Student_Matching_Start">Student_Matching!$A$5</definedName>
    <definedName name="StudentOutput" localSheetId="9">Student_Matching!$C$6:$D$748</definedName>
    <definedName name="StudentOutput_1" localSheetId="9">Student_Matching!$A$5:$B$748</definedName>
    <definedName name="StudentOutput_10" localSheetId="9">Student_Matching!$A$5:$B$797</definedName>
    <definedName name="StudentOutput_11" localSheetId="9">Student_Matching!$A$5:$B$797</definedName>
    <definedName name="StudentOutput_12" localSheetId="9">Student_Matching!$A$5:$B$797</definedName>
    <definedName name="StudentOutput_13" localSheetId="9">Student_Matching!$A$5:$B$764</definedName>
    <definedName name="StudentOutput_14" localSheetId="9">Student_Matching!$A$5:$B$797</definedName>
    <definedName name="StudentOutput_15" localSheetId="9">Student_Matching!$A$5:$B$797</definedName>
    <definedName name="StudentOutput_16" localSheetId="9">Student_Matching!$A$5:$B$797</definedName>
    <definedName name="StudentOutput_17" localSheetId="9">Student_Matching!$A$5:$B$797</definedName>
    <definedName name="StudentOutput_18" localSheetId="9">Student_Matching!$A$5:$B$797</definedName>
    <definedName name="StudentOutput_19" localSheetId="9">Student_Matching!$A$5:$B$797</definedName>
    <definedName name="StudentOutput_2" localSheetId="9">Student_Matching!$A$5:$B$748</definedName>
    <definedName name="StudentOutput_20" localSheetId="9">Student_Matching!$A$5:$B$797</definedName>
    <definedName name="StudentOutput_21" localSheetId="9">Student_Matching!$A$5:$B$797</definedName>
    <definedName name="StudentOutput_22" localSheetId="9">Student_Matching!$A$5:$B$797</definedName>
    <definedName name="StudentOutput_23" localSheetId="9">Student_Matching!$A$5:$B$797</definedName>
    <definedName name="StudentOutput_24" localSheetId="9">Student_Matching!$A$5:$B$797</definedName>
    <definedName name="StudentOutput_25" localSheetId="9">Student_Matching!$A$5:$B$797</definedName>
    <definedName name="StudentOutput_26" localSheetId="9">Student_Matching!$A$5:$B$797</definedName>
    <definedName name="StudentOutput_27" localSheetId="9">Student_Matching!$A$5:$B$797</definedName>
    <definedName name="StudentOutput_28" localSheetId="9">Student_Matching!$A$5:$B$797</definedName>
    <definedName name="StudentOutput_29" localSheetId="9">Student_Matching!$A$5:$B$797</definedName>
    <definedName name="StudentOutput_3" localSheetId="9">Student_Matching!$A$5:$B$748</definedName>
    <definedName name="StudentOutput_30" localSheetId="9">Student_Matching!$A$5:$B$797</definedName>
    <definedName name="StudentOutput_31" localSheetId="9">Student_Matching!$A$5:$B$797</definedName>
    <definedName name="StudentOutput_32" localSheetId="9">Student_Matching!$A$5:$B$748</definedName>
    <definedName name="StudentOutput_33" localSheetId="9">Student_Matching!$A$5:$B$748</definedName>
    <definedName name="StudentOutput_34" localSheetId="9">Student_Matching!$A$5:$B$748</definedName>
    <definedName name="StudentOutput_35" localSheetId="9">Student_Matching!$A$5:$B$748</definedName>
    <definedName name="StudentOutput_36" localSheetId="9">Student_Matching!$A$5:$B$797</definedName>
    <definedName name="StudentOutput_4" localSheetId="9">Student_Matching!$A$5:$B$748</definedName>
    <definedName name="StudentOutput_5" localSheetId="9">Student_Matching!$A$5:$B$748</definedName>
    <definedName name="StudentOutput_6" localSheetId="9">Student_Matching!$A$5:$B$748</definedName>
    <definedName name="StudentOutput_7" localSheetId="9">Student_Matching!$A$5:$B$797</definedName>
    <definedName name="StudentOutput_8" localSheetId="9">Student_Matching!$A$5:$B$797</definedName>
    <definedName name="StudentOutput_9" localSheetId="9">Student_Matching!$A$5:$B$797</definedName>
  </definedNames>
  <calcPr calcId="171027"/>
  <pivotCaches>
    <pivotCache cacheId="375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13" l="1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R7" i="13"/>
  <c r="L68" i="13" l="1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M12" i="13"/>
  <c r="N12" i="13"/>
  <c r="L12" i="13" s="1"/>
  <c r="O12" i="13"/>
  <c r="M13" i="13"/>
  <c r="N13" i="13"/>
  <c r="L13" i="13" s="1"/>
  <c r="O13" i="13"/>
  <c r="M14" i="13"/>
  <c r="N14" i="13"/>
  <c r="L14" i="13" s="1"/>
  <c r="O14" i="13"/>
  <c r="M15" i="13"/>
  <c r="N15" i="13"/>
  <c r="L15" i="13" s="1"/>
  <c r="O15" i="13"/>
  <c r="M16" i="13"/>
  <c r="N16" i="13"/>
  <c r="L16" i="13" s="1"/>
  <c r="O16" i="13"/>
  <c r="M17" i="13"/>
  <c r="N17" i="13"/>
  <c r="L17" i="13" s="1"/>
  <c r="O17" i="13"/>
  <c r="M18" i="13"/>
  <c r="N18" i="13"/>
  <c r="L18" i="13" s="1"/>
  <c r="O18" i="13"/>
  <c r="M19" i="13"/>
  <c r="N19" i="13"/>
  <c r="L19" i="13" s="1"/>
  <c r="O19" i="13"/>
  <c r="M20" i="13"/>
  <c r="N20" i="13"/>
  <c r="L20" i="13" s="1"/>
  <c r="O20" i="13"/>
  <c r="M21" i="13"/>
  <c r="N21" i="13"/>
  <c r="L21" i="13" s="1"/>
  <c r="O21" i="13"/>
  <c r="M22" i="13"/>
  <c r="N22" i="13"/>
  <c r="L22" i="13" s="1"/>
  <c r="O22" i="13"/>
  <c r="M23" i="13"/>
  <c r="N23" i="13"/>
  <c r="L23" i="13" s="1"/>
  <c r="O23" i="13"/>
  <c r="M24" i="13"/>
  <c r="N24" i="13"/>
  <c r="L24" i="13" s="1"/>
  <c r="O24" i="13"/>
  <c r="M25" i="13"/>
  <c r="N25" i="13"/>
  <c r="L25" i="13" s="1"/>
  <c r="O25" i="13"/>
  <c r="M26" i="13"/>
  <c r="N26" i="13"/>
  <c r="L26" i="13" s="1"/>
  <c r="O26" i="13"/>
  <c r="M27" i="13"/>
  <c r="N27" i="13"/>
  <c r="L27" i="13" s="1"/>
  <c r="O27" i="13"/>
  <c r="M28" i="13"/>
  <c r="N28" i="13"/>
  <c r="L28" i="13" s="1"/>
  <c r="O28" i="13"/>
  <c r="M29" i="13"/>
  <c r="N29" i="13"/>
  <c r="L29" i="13" s="1"/>
  <c r="O29" i="13"/>
  <c r="M30" i="13"/>
  <c r="N30" i="13"/>
  <c r="L30" i="13" s="1"/>
  <c r="O30" i="13"/>
  <c r="M31" i="13"/>
  <c r="N31" i="13"/>
  <c r="L31" i="13" s="1"/>
  <c r="O31" i="13"/>
  <c r="M32" i="13"/>
  <c r="N32" i="13"/>
  <c r="L32" i="13" s="1"/>
  <c r="O32" i="13"/>
  <c r="M33" i="13"/>
  <c r="N33" i="13"/>
  <c r="L33" i="13" s="1"/>
  <c r="O33" i="13"/>
  <c r="M34" i="13"/>
  <c r="N34" i="13"/>
  <c r="L34" i="13" s="1"/>
  <c r="O34" i="13"/>
  <c r="M35" i="13"/>
  <c r="N35" i="13"/>
  <c r="L35" i="13" s="1"/>
  <c r="O35" i="13"/>
  <c r="M36" i="13"/>
  <c r="N36" i="13"/>
  <c r="L36" i="13" s="1"/>
  <c r="O36" i="13"/>
  <c r="M37" i="13"/>
  <c r="N37" i="13"/>
  <c r="L37" i="13" s="1"/>
  <c r="O37" i="13"/>
  <c r="M38" i="13"/>
  <c r="N38" i="13"/>
  <c r="L38" i="13" s="1"/>
  <c r="O38" i="13"/>
  <c r="M39" i="13"/>
  <c r="N39" i="13"/>
  <c r="L39" i="13" s="1"/>
  <c r="O39" i="13"/>
  <c r="M40" i="13"/>
  <c r="N40" i="13"/>
  <c r="L40" i="13" s="1"/>
  <c r="O40" i="13"/>
  <c r="M41" i="13"/>
  <c r="N41" i="13"/>
  <c r="L41" i="13" s="1"/>
  <c r="O41" i="13"/>
  <c r="M42" i="13"/>
  <c r="N42" i="13"/>
  <c r="L42" i="13" s="1"/>
  <c r="O42" i="13"/>
  <c r="M43" i="13"/>
  <c r="N43" i="13"/>
  <c r="L43" i="13" s="1"/>
  <c r="O43" i="13"/>
  <c r="M44" i="13"/>
  <c r="N44" i="13"/>
  <c r="L44" i="13" s="1"/>
  <c r="O44" i="13"/>
  <c r="M45" i="13"/>
  <c r="N45" i="13"/>
  <c r="L45" i="13" s="1"/>
  <c r="O45" i="13"/>
  <c r="M46" i="13"/>
  <c r="N46" i="13"/>
  <c r="L46" i="13" s="1"/>
  <c r="O46" i="13"/>
  <c r="M47" i="13"/>
  <c r="N47" i="13"/>
  <c r="L47" i="13" s="1"/>
  <c r="O47" i="13"/>
  <c r="M48" i="13"/>
  <c r="N48" i="13"/>
  <c r="L48" i="13" s="1"/>
  <c r="O48" i="13"/>
  <c r="M49" i="13"/>
  <c r="N49" i="13"/>
  <c r="L49" i="13" s="1"/>
  <c r="O49" i="13"/>
  <c r="M50" i="13"/>
  <c r="N50" i="13"/>
  <c r="L50" i="13" s="1"/>
  <c r="O50" i="13"/>
  <c r="M51" i="13"/>
  <c r="N51" i="13"/>
  <c r="L51" i="13" s="1"/>
  <c r="O51" i="13"/>
  <c r="M52" i="13"/>
  <c r="N52" i="13"/>
  <c r="L52" i="13" s="1"/>
  <c r="O52" i="13"/>
  <c r="M53" i="13"/>
  <c r="N53" i="13"/>
  <c r="L53" i="13" s="1"/>
  <c r="O53" i="13"/>
  <c r="M54" i="13"/>
  <c r="N54" i="13"/>
  <c r="L54" i="13" s="1"/>
  <c r="O54" i="13"/>
  <c r="M55" i="13"/>
  <c r="N55" i="13"/>
  <c r="L55" i="13" s="1"/>
  <c r="O55" i="13"/>
  <c r="M56" i="13"/>
  <c r="N56" i="13"/>
  <c r="L56" i="13" s="1"/>
  <c r="O56" i="13"/>
  <c r="M57" i="13"/>
  <c r="N57" i="13"/>
  <c r="L57" i="13" s="1"/>
  <c r="O57" i="13"/>
  <c r="M58" i="13"/>
  <c r="N58" i="13"/>
  <c r="L58" i="13" s="1"/>
  <c r="O58" i="13"/>
  <c r="M59" i="13"/>
  <c r="N59" i="13"/>
  <c r="L59" i="13" s="1"/>
  <c r="O59" i="13"/>
  <c r="M60" i="13"/>
  <c r="N60" i="13"/>
  <c r="L60" i="13" s="1"/>
  <c r="O60" i="13"/>
  <c r="M61" i="13"/>
  <c r="N61" i="13"/>
  <c r="L61" i="13" s="1"/>
  <c r="O61" i="13"/>
  <c r="M62" i="13"/>
  <c r="N62" i="13"/>
  <c r="L62" i="13" s="1"/>
  <c r="O62" i="13"/>
  <c r="M63" i="13"/>
  <c r="N63" i="13"/>
  <c r="L63" i="13" s="1"/>
  <c r="O63" i="13"/>
  <c r="M64" i="13"/>
  <c r="N64" i="13"/>
  <c r="L64" i="13" s="1"/>
  <c r="O64" i="13"/>
  <c r="M65" i="13"/>
  <c r="N65" i="13"/>
  <c r="L65" i="13" s="1"/>
  <c r="O65" i="13"/>
  <c r="M66" i="13"/>
  <c r="N66" i="13"/>
  <c r="L66" i="13" s="1"/>
  <c r="O66" i="13"/>
  <c r="M67" i="13"/>
  <c r="N67" i="13"/>
  <c r="L67" i="13" s="1"/>
  <c r="O67" i="13"/>
  <c r="M68" i="13"/>
  <c r="N68" i="13"/>
  <c r="O68" i="13"/>
  <c r="M69" i="13"/>
  <c r="N69" i="13"/>
  <c r="O69" i="13"/>
  <c r="M70" i="13"/>
  <c r="N70" i="13"/>
  <c r="O70" i="13"/>
  <c r="M71" i="13"/>
  <c r="N71" i="13"/>
  <c r="O71" i="13"/>
  <c r="M72" i="13"/>
  <c r="N72" i="13"/>
  <c r="O72" i="13"/>
  <c r="M73" i="13"/>
  <c r="N73" i="13"/>
  <c r="O73" i="13"/>
  <c r="M74" i="13"/>
  <c r="N74" i="13"/>
  <c r="O74" i="13"/>
  <c r="M75" i="13"/>
  <c r="N75" i="13"/>
  <c r="O75" i="13"/>
  <c r="M76" i="13"/>
  <c r="N76" i="13"/>
  <c r="O76" i="13"/>
  <c r="M77" i="13"/>
  <c r="N77" i="13"/>
  <c r="O77" i="13"/>
  <c r="M78" i="13"/>
  <c r="N78" i="13"/>
  <c r="O78" i="13"/>
  <c r="M79" i="13"/>
  <c r="N79" i="13"/>
  <c r="O79" i="13"/>
  <c r="M80" i="13"/>
  <c r="N80" i="13"/>
  <c r="O80" i="13"/>
  <c r="M81" i="13"/>
  <c r="N81" i="13"/>
  <c r="O81" i="13"/>
  <c r="M82" i="13"/>
  <c r="N82" i="13"/>
  <c r="O82" i="13"/>
  <c r="M83" i="13"/>
  <c r="N83" i="13"/>
  <c r="O83" i="13"/>
  <c r="M84" i="13"/>
  <c r="N84" i="13"/>
  <c r="O84" i="13"/>
  <c r="M85" i="13"/>
  <c r="N85" i="13"/>
  <c r="O85" i="13"/>
  <c r="M86" i="13"/>
  <c r="N86" i="13"/>
  <c r="O86" i="13"/>
  <c r="M87" i="13"/>
  <c r="N87" i="13"/>
  <c r="O87" i="13"/>
  <c r="M88" i="13"/>
  <c r="N88" i="13"/>
  <c r="O88" i="13"/>
  <c r="M89" i="13"/>
  <c r="N89" i="13"/>
  <c r="O89" i="13"/>
  <c r="M90" i="13"/>
  <c r="N90" i="13"/>
  <c r="O90" i="13"/>
  <c r="M91" i="13"/>
  <c r="N91" i="13"/>
  <c r="O91" i="13"/>
  <c r="M92" i="13"/>
  <c r="N92" i="13"/>
  <c r="O92" i="13"/>
  <c r="M93" i="13"/>
  <c r="N93" i="13"/>
  <c r="O93" i="13"/>
  <c r="M94" i="13"/>
  <c r="N94" i="13"/>
  <c r="O94" i="13"/>
  <c r="M95" i="13"/>
  <c r="N95" i="13"/>
  <c r="O95" i="13"/>
  <c r="M96" i="13"/>
  <c r="N96" i="13"/>
  <c r="O96" i="13"/>
  <c r="M97" i="13"/>
  <c r="N97" i="13"/>
  <c r="O97" i="13"/>
  <c r="M98" i="13"/>
  <c r="N98" i="13"/>
  <c r="O98" i="13"/>
  <c r="M99" i="13"/>
  <c r="N99" i="13"/>
  <c r="O99" i="13"/>
  <c r="M100" i="13"/>
  <c r="N100" i="13"/>
  <c r="O100" i="13"/>
  <c r="M101" i="13"/>
  <c r="N101" i="13"/>
  <c r="O101" i="13"/>
  <c r="M102" i="13"/>
  <c r="N102" i="13"/>
  <c r="O102" i="13"/>
  <c r="M103" i="13"/>
  <c r="N103" i="13"/>
  <c r="O103" i="13"/>
  <c r="M104" i="13"/>
  <c r="N104" i="13"/>
  <c r="O104" i="13"/>
  <c r="M105" i="13"/>
  <c r="N105" i="13"/>
  <c r="O105" i="13"/>
  <c r="M106" i="13"/>
  <c r="N106" i="13"/>
  <c r="O106" i="13"/>
  <c r="M107" i="13"/>
  <c r="N107" i="13"/>
  <c r="O107" i="13"/>
  <c r="M108" i="13"/>
  <c r="N108" i="13"/>
  <c r="O108" i="13"/>
  <c r="O11" i="13"/>
  <c r="N11" i="13"/>
  <c r="L11" i="13" s="1"/>
  <c r="M11" i="13"/>
  <c r="A10" i="14" l="1"/>
  <c r="A11" i="14" s="1"/>
  <c r="A12" i="14" s="1"/>
  <c r="A13" i="14" s="1"/>
  <c r="A14" i="14" s="1"/>
  <c r="A15" i="14" s="1"/>
  <c r="A9" i="14"/>
</calcChain>
</file>

<file path=xl/comments1.xml><?xml version="1.0" encoding="utf-8"?>
<comments xmlns="http://schemas.openxmlformats.org/spreadsheetml/2006/main">
  <authors>
    <author>Gloria D'Azevedo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Biological Engineering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Biomedical Engineering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Civil Engineering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Chemical Engineering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Computer Science</t>
        </r>
      </text>
    </comment>
    <comment ref="J8" authorId="0" shapeId="0">
      <text>
        <r>
          <rPr>
            <b/>
            <sz val="9"/>
            <color indexed="81"/>
            <rFont val="Tahoma"/>
            <family val="2"/>
          </rPr>
          <t>Electrical and Computer Engineering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Environmental Engineering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</rPr>
          <t>Engineering Physics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>Information Science Systems and Technology</t>
        </r>
      </text>
    </comment>
    <comment ref="N8" authorId="0" shapeId="0">
      <text>
        <r>
          <rPr>
            <b/>
            <sz val="9"/>
            <color indexed="81"/>
            <rFont val="Tahoma"/>
            <family val="2"/>
          </rPr>
          <t>Mechanical Engineering</t>
        </r>
      </text>
    </comment>
    <comment ref="O8" authorId="0" shapeId="0">
      <text>
        <r>
          <rPr>
            <b/>
            <sz val="9"/>
            <color indexed="81"/>
            <rFont val="Tahoma"/>
            <family val="2"/>
          </rPr>
          <t>Materials Science and Engineering</t>
        </r>
      </text>
    </comment>
    <comment ref="P8" authorId="0" shapeId="0">
      <text>
        <r>
          <rPr>
            <b/>
            <sz val="9"/>
            <color indexed="81"/>
            <rFont val="Tahoma"/>
            <family val="2"/>
          </rPr>
          <t>Operations Research and Information Engineering</t>
        </r>
      </text>
    </comment>
    <comment ref="Q8" authorId="0" shapeId="0">
      <text>
        <r>
          <rPr>
            <b/>
            <sz val="9"/>
            <color indexed="81"/>
            <rFont val="Tahoma"/>
            <family val="2"/>
          </rPr>
          <t>Pre-health, Pre-vet, Pre-dental, Pre-med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Science of Earth Systems</t>
        </r>
      </text>
    </comment>
    <comment ref="S8" authorId="0" shapeId="0">
      <text>
        <r>
          <rPr>
            <b/>
            <sz val="9"/>
            <color indexed="81"/>
            <rFont val="Tahoma"/>
            <family val="2"/>
          </rPr>
          <t>Undecided</t>
        </r>
      </text>
    </comment>
  </commentList>
</comments>
</file>

<file path=xl/comments2.xml><?xml version="1.0" encoding="utf-8"?>
<comments xmlns="http://schemas.openxmlformats.org/spreadsheetml/2006/main">
  <authors>
    <author>Gloria D'Azevedo</author>
  </authors>
  <commentList>
    <comment ref="F7" authorId="0" shapeId="0">
      <text>
        <r>
          <rPr>
            <b/>
            <sz val="9"/>
            <color indexed="81"/>
            <rFont val="Tahoma"/>
            <family val="2"/>
          </rPr>
          <t>Need to make sure this is in "hh:mm:ss AM/PM" as a text not a time.
Use =TEXT([cell],"hh:mm:ss AM/PM") and copy paste as values in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Need to make sure this is in "hh:mm:ss AM/PM" as a text not a time.
Use =TEXT([cell],"hh:mm:ss AM/PM") and copy paste as values in</t>
        </r>
      </text>
    </comment>
  </commentList>
</comments>
</file>

<file path=xl/comments3.xml><?xml version="1.0" encoding="utf-8"?>
<comments xmlns="http://schemas.openxmlformats.org/spreadsheetml/2006/main">
  <authors>
    <author>Gloria D'Azevedo</author>
  </authors>
  <commentList>
    <comment ref="E20" authorId="0" shapeId="0">
      <text>
        <r>
          <rPr>
            <b/>
            <sz val="9"/>
            <color indexed="81"/>
            <rFont val="Tahoma"/>
            <family val="2"/>
          </rPr>
          <t>Named Cell: Do not remove or rename</t>
        </r>
      </text>
    </comment>
  </commentList>
</comments>
</file>

<file path=xl/comments4.xml><?xml version="1.0" encoding="utf-8"?>
<comments xmlns="http://schemas.openxmlformats.org/spreadsheetml/2006/main">
  <authors>
    <author>Gloria D'Azevedo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Anchored cell; don't delete or rename!</t>
        </r>
      </text>
    </comment>
  </commentList>
</comments>
</file>

<file path=xl/comments5.xml><?xml version="1.0" encoding="utf-8"?>
<comments xmlns="http://schemas.openxmlformats.org/spreadsheetml/2006/main">
  <authors>
    <author>Gloria D'Azevedo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Extra columns of pivot table are hidden for neatness</t>
        </r>
      </text>
    </comment>
  </commentList>
</comments>
</file>

<file path=xl/comments6.xml><?xml version="1.0" encoding="utf-8"?>
<comments xmlns="http://schemas.openxmlformats.org/spreadsheetml/2006/main">
  <authors>
    <author>Gloria D'Azevedo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Some rows and columns for pivot table headings are hidden for sheet neatness and clarity</t>
        </r>
      </text>
    </comment>
  </commentList>
</comments>
</file>

<file path=xl/connections.xml><?xml version="1.0" encoding="utf-8"?>
<connections xmlns="http://schemas.openxmlformats.org/spreadsheetml/2006/main">
  <connection id="1" name="AdvisorScheduleOutput" type="6" refreshedVersion="0" deleted="1" background="1" saveData="1">
    <textPr prompt="0" sourceFile="C:\Users\glori\Documents\Cornell_Backup\CapstoneProject\AdvisorScheduleOutput.txt">
      <textFields>
        <textField/>
      </textFields>
    </textPr>
  </connection>
  <connection id="2" name="AdvisorScheduleOutput1" type="6" refreshedVersion="6" deleted="1" background="1" saveData="1">
    <textPr prompt="0" codePage="1250" sourceFile="C:\Users\glori\Documents\Cornell_Backup\CapstoneProject\AdvisorScheduleOutput.txt" space="1" semicolon="1" consecutive="1">
      <textFields count="2">
        <textField/>
        <textField/>
      </textFields>
    </textPr>
  </connection>
  <connection id="3" name="ErrorPrint" type="6" refreshedVersion="0" deleted="1" background="1" saveData="1">
    <textPr prompt="0" sourceFile="C:\Users\glori\Documents\Cornell_Backup\CapstoneProject\ErrorPrint.txt">
      <textFields>
        <textField/>
      </textFields>
    </textPr>
  </connection>
  <connection id="4" name="ErrorPrint1" type="6" refreshedVersion="6" background="1" saveData="1">
    <textPr prompt="0" codePage="437" sourceFile="C:\Users\glori\Documents\Cornell_Backup\CapstoneProject\ErrorPrint.txt" consecutive="1">
      <textFields count="2">
        <textField/>
        <textField/>
      </textFields>
    </textPr>
  </connection>
  <connection id="5" name="SolutionOutput" type="6" refreshedVersion="0" deleted="1" background="1" saveData="1">
    <textPr prompt="0" sourceFile="C:\Users\glori\Documents\Cornell_Backup\CapstoneProject\SolutionOutput.txt">
      <textFields>
        <textField/>
      </textFields>
    </textPr>
  </connection>
  <connection id="6" name="SolutionOutput1" type="6" refreshedVersion="6" background="1" saveData="1">
    <textPr prompt="0" sourceFile="C:\Users\glori\Documents\Cornell_Backup\CapstoneProject\SolutionOutput.txt">
      <textFields>
        <textField/>
      </textFields>
    </textPr>
  </connection>
  <connection id="7" name="SolutionOutput2" type="6" refreshedVersion="6" background="1" saveData="1">
    <textPr prompt="0" sourceFile="C:\Users\glori\Documents\Cornell_Backup\CapstoneProject\SolutionOutput.txt">
      <textFields>
        <textField/>
      </textFields>
    </textPr>
  </connection>
  <connection id="8" name="SolutionOutput3" type="6" refreshedVersion="6" background="1" saveData="1">
    <textPr prompt="0" codePage="437" sourceFile="C:\Users\glori\Documents\Cornell_Backup\CapstoneProject\SolutionOutput.txt" space="1" semicolon="1" consecutive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StudentOutput" type="6" refreshedVersion="0" deleted="1" background="1" saveData="1">
    <textPr prompt="0" sourceFile="C:\Users\glori\Documents\Cornell_Backup\CapstoneProject\StudentOutput.txt">
      <textFields>
        <textField/>
      </textFields>
    </textPr>
  </connection>
  <connection id="10" name="StudentOutput3" type="6" refreshedVersion="6" deleted="1" background="1" saveData="1">
    <textPr prompt="0" codePage="437" sourceFile="C:\Users\glori\Documents\Cornell_Backup\CapstoneProject\StudentOutput.txt" space="1" consecutive="1">
      <textFields count="2">
        <textField/>
        <textField/>
      </textFields>
    </textPr>
  </connection>
  <connection id="11" name="StudentOutput4" type="6" refreshedVersion="6" deleted="1" background="1" saveData="1">
    <textPr prompt="0" codePage="437" sourceFile="C:\Users\glori\Documents\Cornell_Backup\CapstoneProject\StudentOutput.txt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<sst xmlns="http://schemas.openxmlformats.org/spreadsheetml/2006/main" count="7160" uniqueCount="314">
  <si>
    <t>Gender</t>
  </si>
  <si>
    <t>Ethnicity</t>
  </si>
  <si>
    <t>EP</t>
  </si>
  <si>
    <t>ME</t>
  </si>
  <si>
    <t>MSE</t>
  </si>
  <si>
    <t>CS</t>
  </si>
  <si>
    <t>ISST</t>
  </si>
  <si>
    <t>ECE</t>
  </si>
  <si>
    <t>CHEME</t>
  </si>
  <si>
    <t>EnvirE</t>
  </si>
  <si>
    <t>BE</t>
  </si>
  <si>
    <t>OR</t>
  </si>
  <si>
    <t>CE</t>
  </si>
  <si>
    <t>Undecided</t>
  </si>
  <si>
    <t>Pre-health</t>
  </si>
  <si>
    <t>SES</t>
  </si>
  <si>
    <t>Do not move or change these headings</t>
  </si>
  <si>
    <t>Asian</t>
  </si>
  <si>
    <t>M</t>
  </si>
  <si>
    <t>White</t>
  </si>
  <si>
    <t>F</t>
  </si>
  <si>
    <t>Not Reported</t>
  </si>
  <si>
    <t>Hispanic</t>
  </si>
  <si>
    <t>International</t>
  </si>
  <si>
    <t>Multi-NonURM</t>
  </si>
  <si>
    <t>Multi-URM</t>
  </si>
  <si>
    <t>Black</t>
  </si>
  <si>
    <t>Hawaii/Pac</t>
  </si>
  <si>
    <t>Am. Indian</t>
  </si>
  <si>
    <t>Advisor NetID</t>
  </si>
  <si>
    <t>Pairing Request</t>
  </si>
  <si>
    <t>Advisor Department</t>
  </si>
  <si>
    <t>Majors</t>
  </si>
  <si>
    <t>Applied and Engineering Physics</t>
  </si>
  <si>
    <t>Civil Engineering</t>
  </si>
  <si>
    <t>Materials Science and Engineering</t>
  </si>
  <si>
    <t>Mechanical and Aerospace Engineering</t>
  </si>
  <si>
    <t>Biomedical Engineering</t>
  </si>
  <si>
    <t>Civil Engineering,Environmental Engineering</t>
  </si>
  <si>
    <t>Chemical and Biomolecular Engineering</t>
  </si>
  <si>
    <t>Chemical Engineering</t>
  </si>
  <si>
    <t>Earth and Atmospheric Sciences</t>
  </si>
  <si>
    <t>Electrical and Computer Engineering</t>
  </si>
  <si>
    <t>Electrical and Computer Engineering,Engineering Physics</t>
  </si>
  <si>
    <t>slp6</t>
  </si>
  <si>
    <t>Mechanical Engineering</t>
  </si>
  <si>
    <t>Operations Research and Information Engineering</t>
  </si>
  <si>
    <t>wmw4</t>
  </si>
  <si>
    <t>Science of Earth Systems,Undecided</t>
  </si>
  <si>
    <t>Course Name</t>
  </si>
  <si>
    <t>Name</t>
  </si>
  <si>
    <t>Day</t>
  </si>
  <si>
    <t>Start Time</t>
  </si>
  <si>
    <t>End Time</t>
  </si>
  <si>
    <t>ENGRI 1190</t>
  </si>
  <si>
    <t>Biomaterials for the Skeletal System</t>
  </si>
  <si>
    <t>LEC</t>
  </si>
  <si>
    <t>TR</t>
  </si>
  <si>
    <t>ENGRI 1610</t>
  </si>
  <si>
    <t>Computing in the Arts</t>
  </si>
  <si>
    <t>MWF</t>
  </si>
  <si>
    <t>ENGRI 1820</t>
  </si>
  <si>
    <t>Electricity Lights Camera Action: Nanoengineering for the Future of Bits and Bytes</t>
  </si>
  <si>
    <t>MF</t>
  </si>
  <si>
    <t>ENGRI 1101</t>
  </si>
  <si>
    <t>Engineering Applications of Operations Research</t>
  </si>
  <si>
    <t>CHEM 2090</t>
  </si>
  <si>
    <t>Engineering General Chemistry</t>
  </si>
  <si>
    <t>BE,BME,CHEME,CE,CS,ECE,EP,EnvirE,ISST,OR,MSE,ME,Pre-health,SES,Undecided</t>
  </si>
  <si>
    <t>CHEM 2150</t>
  </si>
  <si>
    <t>Honors General and Inorganic Chemistry</t>
  </si>
  <si>
    <t>ENGRI 1120</t>
  </si>
  <si>
    <t>Introduction to Chemical Engineering</t>
  </si>
  <si>
    <t>ENGRI 1170</t>
  </si>
  <si>
    <t>Introduction to Mechanical Engineering</t>
  </si>
  <si>
    <t>ENGRI 1200</t>
  </si>
  <si>
    <t>Introduction to Nanoscience and Nanoengineering</t>
  </si>
  <si>
    <t>BIOMG 1350</t>
  </si>
  <si>
    <t>Introductory Biology: Cell and Developmental Biology</t>
  </si>
  <si>
    <t>MW</t>
  </si>
  <si>
    <t>BME,BE</t>
  </si>
  <si>
    <t>BIOG 1440</t>
  </si>
  <si>
    <t>Introductory Biology: Comparative Physiology</t>
  </si>
  <si>
    <t>BIOG 1500</t>
  </si>
  <si>
    <t>Investigative Biology Laboratory</t>
  </si>
  <si>
    <t>T</t>
  </si>
  <si>
    <t>ENGRI 1100</t>
  </si>
  <si>
    <t>Lasers and Photonics</t>
  </si>
  <si>
    <t>ENGRI 1160</t>
  </si>
  <si>
    <t>Modern Structures</t>
  </si>
  <si>
    <t>ENGRI 1110</t>
  </si>
  <si>
    <t>Nanotechnology for Global Health and a Sustainable World</t>
  </si>
  <si>
    <t>CS 2112</t>
  </si>
  <si>
    <t>Object-Oriented Design and Data Structures - Honors</t>
  </si>
  <si>
    <t>CS 2110</t>
  </si>
  <si>
    <t>Object-Oriented Programming and Data Structures</t>
  </si>
  <si>
    <t>ENGRI 1620</t>
  </si>
  <si>
    <t>Visual Imaging in the Electronic Age</t>
  </si>
  <si>
    <t>MATH 1910</t>
  </si>
  <si>
    <t>Calculus for Engineers</t>
  </si>
  <si>
    <t>MATH 1920</t>
  </si>
  <si>
    <t>Multivariable Calculus for Engineers</t>
  </si>
  <si>
    <t>11:40:00 AM</t>
  </si>
  <si>
    <t>12:55:00 PM</t>
  </si>
  <si>
    <t>10:10:00 AM</t>
  </si>
  <si>
    <t>11:00:00 AM</t>
  </si>
  <si>
    <t>12:20:00 PM</t>
  </si>
  <si>
    <t>11:15:00 AM</t>
  </si>
  <si>
    <t>12:05:00 PM</t>
  </si>
  <si>
    <t>11:25:00 AM</t>
  </si>
  <si>
    <t>Lecture/Lab</t>
  </si>
  <si>
    <t>01:25:00 PM</t>
  </si>
  <si>
    <t>02:40:00 PM</t>
  </si>
  <si>
    <t>01:10:00 PM</t>
  </si>
  <si>
    <t>09:05:00 AM</t>
  </si>
  <si>
    <t>09:55:00 AM</t>
  </si>
  <si>
    <t>08:00:00 AM</t>
  </si>
  <si>
    <t>Pairing in Department? (1=YES, 0=NO)</t>
  </si>
  <si>
    <t>Key</t>
  </si>
  <si>
    <t>BME</t>
  </si>
  <si>
    <t>Unknown</t>
  </si>
  <si>
    <t>Two or More Races</t>
  </si>
  <si>
    <t>crp10</t>
  </si>
  <si>
    <t>sf375</t>
  </si>
  <si>
    <t>Mechanical Engineering,Undecided</t>
  </si>
  <si>
    <t>cs639</t>
  </si>
  <si>
    <t>jam262</t>
  </si>
  <si>
    <t>Materials Science Engineering,Mechanical Engineering,Undecided,Computer Science,Electrical and Computer Engineering,Engineering Physics</t>
  </si>
  <si>
    <t>jdb20</t>
  </si>
  <si>
    <t>gl428</t>
  </si>
  <si>
    <t>Biological Engineering,Materials Science Engineering,Mechanical Engineering,Undecided,Biomedical Engineering,Chemical Engineering,Electrical and Computer Engineering,Engineering Physics</t>
  </si>
  <si>
    <t>Biological Engineering,Undecided,Biomedical Engineering,Engineering Physics</t>
  </si>
  <si>
    <t>lb244</t>
  </si>
  <si>
    <t>Biological Engineering,Mechanical Engineering,Biomedical Engineering</t>
  </si>
  <si>
    <t>sda4</t>
  </si>
  <si>
    <t>Biological Engineering,Pre-Health (Includes Pre-Vet and Pre-Dental),Undecided,Biomedical Engineering,Chemical Engineering</t>
  </si>
  <si>
    <t>wdp2</t>
  </si>
  <si>
    <t>Mechanical Engineering,Undecided,Civil Engineering,Computer Science,Environmental Engineering</t>
  </si>
  <si>
    <t>cf99</t>
  </si>
  <si>
    <t>jl2792</t>
  </si>
  <si>
    <t>Biological Engineering,Biomedical Engineering</t>
  </si>
  <si>
    <t>pmr82</t>
  </si>
  <si>
    <t>ra477</t>
  </si>
  <si>
    <t>deh262</t>
  </si>
  <si>
    <t>id93</t>
  </si>
  <si>
    <t>cje23</t>
  </si>
  <si>
    <t>Mechanical Engineering,Civil Engineering</t>
  </si>
  <si>
    <t>pd83</t>
  </si>
  <si>
    <t>Biomedical Engineering,Computer Science,Electrical and Computer Engineering</t>
  </si>
  <si>
    <t>rhr2</t>
  </si>
  <si>
    <t>atz2</t>
  </si>
  <si>
    <t>Undecided,Biomedical Engineering</t>
  </si>
  <si>
    <t>jre7</t>
  </si>
  <si>
    <t>phs7</t>
  </si>
  <si>
    <t>hk478</t>
  </si>
  <si>
    <t>Mechanical Engineering,Undecided,Computer Science,Electrical and Computer Engineering</t>
  </si>
  <si>
    <t>rvl1</t>
  </si>
  <si>
    <t>Mechanical Engineering,Undecided,Engineering Physics</t>
  </si>
  <si>
    <t>mdg12</t>
  </si>
  <si>
    <t>fy86</t>
  </si>
  <si>
    <t>Materials Science Engineering,Mechanical Engineering,Undecided,Civil Engineering</t>
  </si>
  <si>
    <t>dlh37</t>
  </si>
  <si>
    <t>Mechanical Engineering,Computer Science,Electrical and Computer Engineering,Engineering Physics</t>
  </si>
  <si>
    <t>mp337</t>
  </si>
  <si>
    <t>ldb7</t>
  </si>
  <si>
    <t>Science of Earth Systems,Environmental Engineering</t>
  </si>
  <si>
    <t>awb8</t>
  </si>
  <si>
    <t>rgb6</t>
  </si>
  <si>
    <t>Operations Research,Undecided</t>
  </si>
  <si>
    <t>jwt54</t>
  </si>
  <si>
    <t>nab83</t>
  </si>
  <si>
    <t>Materials Science Engineering,Mechanical Engineering,Undecided,Engineering Physics</t>
  </si>
  <si>
    <t>gs272</t>
  </si>
  <si>
    <t>am699</t>
  </si>
  <si>
    <t>Undecided,Computer Science,Electrical and Computer Engineering</t>
  </si>
  <si>
    <t>qz16</t>
  </si>
  <si>
    <t>spb14</t>
  </si>
  <si>
    <t>rb737</t>
  </si>
  <si>
    <t>jjp274</t>
  </si>
  <si>
    <t>rdr82</t>
  </si>
  <si>
    <t>Materials Science Engineering,Mechanical Engineering,Chemical Engineering</t>
  </si>
  <si>
    <t>rrk1</t>
  </si>
  <si>
    <t>Information Science Systems and Technology</t>
  </si>
  <si>
    <t>Information Science Systems and Technology,Undecided</t>
  </si>
  <si>
    <t>Biological Engineering,Undecided,Biomedical Engineering,Electrical and Computer Engineering</t>
  </si>
  <si>
    <t>sbw11</t>
  </si>
  <si>
    <t>Computer Science,Electrical and Computer Engineering,Information Science Systems and Technology</t>
  </si>
  <si>
    <t>sga42</t>
  </si>
  <si>
    <t>jfm37</t>
  </si>
  <si>
    <t>Computer Science,Electrical and Computer Engineering</t>
  </si>
  <si>
    <t>Wednesday 1:25,Wednesday 2:30,Wednesday 3:35</t>
  </si>
  <si>
    <t>Thursday 1:25,Thursday 2:30,Thursday 3:35</t>
  </si>
  <si>
    <t>Tuesday 1:25</t>
  </si>
  <si>
    <t>Tuesday 3:35</t>
  </si>
  <si>
    <t>Thursday 3:35</t>
  </si>
  <si>
    <t>08:50:00 AM</t>
  </si>
  <si>
    <t>Materials Science Engineering,Mechanical Engineering</t>
  </si>
  <si>
    <t>ID of students to Add</t>
  </si>
  <si>
    <t>Click the button to add the students in the shaded area to sections</t>
  </si>
  <si>
    <t>Use only if they did not fill out their preference form or if it is suspected that they will not enroll at Cornell</t>
  </si>
  <si>
    <t>Student</t>
  </si>
  <si>
    <t>Advisor</t>
  </si>
  <si>
    <t>MajorChoiceMatch</t>
  </si>
  <si>
    <t>Time</t>
  </si>
  <si>
    <t>URM</t>
  </si>
  <si>
    <t>W125</t>
  </si>
  <si>
    <t>M230</t>
  </si>
  <si>
    <t>M335</t>
  </si>
  <si>
    <t>F230</t>
  </si>
  <si>
    <t>Non-Hispanic, Non-URM</t>
  </si>
  <si>
    <t>Race Statistics</t>
  </si>
  <si>
    <t>Percent Breakdown</t>
  </si>
  <si>
    <t>Number of Students</t>
  </si>
  <si>
    <t>Male</t>
  </si>
  <si>
    <t>Female</t>
  </si>
  <si>
    <t>Gender Statistics</t>
  </si>
  <si>
    <t>Race Category</t>
  </si>
  <si>
    <t>Gender Breakdown by Advisor's section</t>
  </si>
  <si>
    <t>% Male Students</t>
  </si>
  <si>
    <t>% Female Students</t>
  </si>
  <si>
    <t># URM Students</t>
  </si>
  <si>
    <t># Hispanic Students</t>
  </si>
  <si>
    <t># Non-Hispanic, Non-URM Students</t>
  </si>
  <si>
    <t>Race Breakdown by Advisor's section</t>
  </si>
  <si>
    <t>Major information by Advisor's section</t>
  </si>
  <si>
    <t>Major associated</t>
  </si>
  <si>
    <t>Size of Section</t>
  </si>
  <si>
    <t>Num in Majority</t>
  </si>
  <si>
    <t>Number of Majors</t>
  </si>
  <si>
    <t xml:space="preserve">Errors </t>
  </si>
  <si>
    <t>T335</t>
  </si>
  <si>
    <t>M125</t>
  </si>
  <si>
    <t>R335</t>
  </si>
  <si>
    <t>Added Students</t>
  </si>
  <si>
    <t>Major Breakdown by Advisor's Section</t>
  </si>
  <si>
    <t>&lt;&lt;&lt;Click this button to import all the data when the AMPL run is complete</t>
  </si>
  <si>
    <t>&lt;&lt;&lt;Click the button to run the entire scheduling algorithm.</t>
  </si>
  <si>
    <t>&lt;&lt;&lt;Click this button to run a pre-check for advisors data</t>
  </si>
  <si>
    <t>F125</t>
  </si>
  <si>
    <t>T1220</t>
  </si>
  <si>
    <t>Monday Times</t>
  </si>
  <si>
    <t>Tuesday Times</t>
  </si>
  <si>
    <t>Wednesday Times</t>
  </si>
  <si>
    <t>Thursday Times</t>
  </si>
  <si>
    <t>Friday Times</t>
  </si>
  <si>
    <t>Tuesday 2:30</t>
  </si>
  <si>
    <t>Wednesday 1:25</t>
  </si>
  <si>
    <t>Wednesday 2:30</t>
  </si>
  <si>
    <t>Wednesday 3:35</t>
  </si>
  <si>
    <t>Monday 2:30</t>
  </si>
  <si>
    <t>Thursday 2:30</t>
  </si>
  <si>
    <t>Friday 1:25</t>
  </si>
  <si>
    <t>Monday 3:35</t>
  </si>
  <si>
    <t>Tuesday 2:30,Tuesday 3:35</t>
  </si>
  <si>
    <t>Thursday 9:05,Thursday 10:10,Thursday 11:15,Thursday 12:20</t>
  </si>
  <si>
    <t>Thursday 9:05,Thursday 10:10,Thursday 11:15,Thursday 12:20,Thursday 1:25,Thursday 2:30,Thursday 3:35</t>
  </si>
  <si>
    <t>Tuesday 11:15,Tuesday 12:20,Tuesday 1:25,Tuesday 2:30</t>
  </si>
  <si>
    <t>Wednesday 1:25,Wednesday 2:30</t>
  </si>
  <si>
    <t>Thursday 12:20,Thursday 1:25</t>
  </si>
  <si>
    <t>Monday 1:25,Monday 2:30,Monday 3:35</t>
  </si>
  <si>
    <t>Friday 1:25,Friday 2:30</t>
  </si>
  <si>
    <t>Monday 1:25,Monday 2:30</t>
  </si>
  <si>
    <t>Thursday 11:15,Thursday 12:20,Thursday 1:25,Thursday 2:30,Thursday 3:35</t>
  </si>
  <si>
    <t>Tuesday 10:10,Tuesday 11:15,Tuesday 1:25</t>
  </si>
  <si>
    <t>Tuesday 1:25,Tuesday 2:30,Tuesday 3:35</t>
  </si>
  <si>
    <t>Thursday 12:20,Thursday 1:25,Thursday 2:30,Thursday 3:35</t>
  </si>
  <si>
    <t>Friday 2:30,Friday 3:35</t>
  </si>
  <si>
    <t>Tuesday 9:05,Tuesday 10:10,Tuesday 11:15,Tuesday 12:20,Tuesday 2:30</t>
  </si>
  <si>
    <t>Thursday 9:05,Thursday 10:10,Thursday 11:15,Thursday 12:20,Thursday 1:25,Thursday 2:30</t>
  </si>
  <si>
    <t>Monday 2:30,Monday 3:35</t>
  </si>
  <si>
    <t>Tuesday 9:05,Tuesday 10:10,Tuesday 11:15,Tuesday 12:20</t>
  </si>
  <si>
    <t>Thursday 9:05,Thursday 10:10,Thursday 11:15,Thursday 12:20,Thursday 1:25</t>
  </si>
  <si>
    <t>Wednesday 2:30,Wednesday 3:35</t>
  </si>
  <si>
    <t>Thursday 2:30,Thursday 3:35</t>
  </si>
  <si>
    <t>Thursday 10:10,Thursday 11:15,Thursday 12:20,Thursday 1:25,Thursday 2:30</t>
  </si>
  <si>
    <t>Thursday 1:25,Thursday 2:30</t>
  </si>
  <si>
    <t>Tuesday 12:20</t>
  </si>
  <si>
    <t>Thursday 12:20</t>
  </si>
  <si>
    <t>Friday 2:30</t>
  </si>
  <si>
    <t>Friday 1:25,Friday 2:30,Friday 3:35</t>
  </si>
  <si>
    <t>Thursday 9:05,Thursday 2:30,Thursday 3:35</t>
  </si>
  <si>
    <t>Tuesday 10:10,Tuesday 11:15,Tuesday 2:30</t>
  </si>
  <si>
    <t>Tuesday 10:10</t>
  </si>
  <si>
    <t>Thursday 10:10</t>
  </si>
  <si>
    <t>Tuesday 2:30,Tuesday 12:20,Tuesday 1:25</t>
  </si>
  <si>
    <t>Tuesday 9:05</t>
  </si>
  <si>
    <t>Thursday 1:25</t>
  </si>
  <si>
    <t>Tuesday 2:30,Tuesday 1:25</t>
  </si>
  <si>
    <t>Thursday 9:05</t>
  </si>
  <si>
    <t>Thursday 10:10,Thursday 11:15,Thursday 1:25,Thursday 2:30</t>
  </si>
  <si>
    <t>Tuesday 3:35,Tuesday 9:05,Tuesday 10:10,Tuesday 11:15,Tuesday 12:20</t>
  </si>
  <si>
    <t>Thursday 9:05,Thursday 10:10,Thursday 11:15,Thursday 12:20,Thursday 3:35</t>
  </si>
  <si>
    <t>F335</t>
  </si>
  <si>
    <t>W335</t>
  </si>
  <si>
    <t>MatchType</t>
  </si>
  <si>
    <t>MatchValue</t>
  </si>
  <si>
    <t>AdvisorDep</t>
  </si>
  <si>
    <t>AdvisorPref</t>
  </si>
  <si>
    <t>Advisor rvl1 not in jam262 pairing request list.</t>
  </si>
  <si>
    <t>Advisor slp6 not in spb14 pairing request list.</t>
  </si>
  <si>
    <t>Advisor rhr2 did not write any time preferences and they will be assigned all possible times when computing the model.</t>
  </si>
  <si>
    <t>Advisor rrk1 did not write any time preferences and they will be assigned all possible times when computing the model.</t>
  </si>
  <si>
    <t>Advisor wmw4 did not write any time preferences and they will be assigned all possible times when computing the model.</t>
  </si>
  <si>
    <t>Error: jam262 is the only one in their department and can't be paired with anyone else.  The preference will be removed in computing the model.</t>
  </si>
  <si>
    <t>Error: rvl1 is the only one in their department and can't be paired with anyone else.  The preference will be removed in computing the model.</t>
  </si>
  <si>
    <t>Error: Times for rvl1 and jam262 do not intersect. jam262 will be removed from the pairing request of rvl1 when computing the model.</t>
  </si>
  <si>
    <t>Error: Times for slp6 and spb14 do not intersect. spb14 will be removed from the pairing request of slp6 when computing the model.</t>
  </si>
  <si>
    <t>Error: Times for id93 conflict with their department courses.  All times will be added for id93 when computing the model.</t>
  </si>
  <si>
    <t>Error: Times for jfm37 conflict with their department courses.  All times will be added for jfm37 when computing the model.</t>
  </si>
  <si>
    <t>Error: Times for qz16 conflict with their department courses.  All times will be added for qz16 when computing the model.</t>
  </si>
  <si>
    <t>Error: Times given by rdr82do not intersect with times of others in their department.  The preference will be removed in computing the model.</t>
  </si>
  <si>
    <t>Error: Times given by spb14do not intersect with times of others in their department.  The preference will be removed in computing the model.</t>
  </si>
  <si>
    <t>F905</t>
  </si>
  <si>
    <t>M1115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</si>
</sst>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2" borderId="0" xfId="0" applyNumberForma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2" borderId="0" xfId="0" applyFont="1" applyFill="1" applyAlignment="1">
      <alignment horizontal="center" vertical="center" wrapText="1"/>
    </xf>
    <xf numFmtId="0" fontId="1" fillId="5" borderId="0" xfId="0" applyFont="1" applyFill="1"/>
    <xf numFmtId="0" fontId="0" fillId="5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NumberFormat="1"/>
    <xf numFmtId="0" fontId="1" fillId="6" borderId="9" xfId="0" applyFont="1" applyFill="1" applyBorder="1"/>
    <xf numFmtId="9" fontId="0" fillId="0" borderId="0" xfId="0" applyNumberFormat="1"/>
    <xf numFmtId="0" fontId="1" fillId="6" borderId="9" xfId="0" applyFont="1" applyFill="1" applyBorder="1" applyAlignment="1">
      <alignment horizontal="center"/>
    </xf>
    <xf numFmtId="49" fontId="1" fillId="2" borderId="0" xfId="0" applyNumberFormat="1" applyFont="1" applyFill="1" applyAlignment="1">
      <alignment horizontal="center"/>
    </xf>
    <xf numFmtId="19" fontId="1" fillId="0" borderId="0" xfId="0" applyNumberFormat="1" applyFont="1" applyBorder="1"/>
    <xf numFmtId="19" fontId="0" fillId="0" borderId="0" xfId="0" applyNumberFormat="1" applyBorder="1"/>
    <xf numFmtId="19" fontId="0" fillId="0" borderId="0" xfId="0" applyNumberFormat="1" applyFill="1" applyBorder="1"/>
    <xf numFmtId="19" fontId="0" fillId="0" borderId="0" xfId="0" applyNumberFormat="1"/>
    <xf numFmtId="3" fontId="0" fillId="2" borderId="0" xfId="0" applyNumberFormat="1" applyFill="1"/>
    <xf numFmtId="19" fontId="0" fillId="2" borderId="0" xfId="0" applyNumberFormat="1" applyFill="1" applyAlignment="1">
      <alignment horizontal="center"/>
    </xf>
    <xf numFmtId="0" fontId="0" fillId="2" borderId="0" xfId="0" quotePrefix="1" applyNumberFormat="1" applyFill="1" applyAlignment="1">
      <alignment horizontal="center"/>
    </xf>
    <xf numFmtId="0" fontId="0" fillId="0" borderId="0" xfId="0" applyBorder="1" applyAlignment="1">
      <alignment horizontal="center"/>
    </xf>
    <xf numFmtId="19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5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0" fillId="7" borderId="0" xfId="0" applyFill="1"/>
    <xf numFmtId="0" fontId="0" fillId="2" borderId="0" xfId="0" applyFill="1" applyAlignment="1">
      <alignment horizontal="center"/>
    </xf>
    <xf numFmtId="0" fontId="1" fillId="0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" fillId="4" borderId="0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1">
    <cellStyle name="Normal" xfId="0" builtinId="0"/>
  </cellStyles>
  <dxfs count="9">
    <dxf>
      <numFmt numFmtId="13" formatCode="0%"/>
    </dxf>
    <dxf>
      <numFmt numFmtId="165" formatCode="0.0%"/>
    </dxf>
    <dxf>
      <numFmt numFmtId="0" formatCode="General"/>
    </dxf>
    <dxf>
      <numFmt numFmtId="13" formatCode="0%"/>
    </dxf>
    <dxf>
      <numFmt numFmtId="165" formatCode="0.0%"/>
    </dxf>
    <dxf>
      <numFmt numFmtId="13" formatCode="0%"/>
    </dxf>
    <dxf>
      <numFmt numFmtId="165" formatCode="0.0%"/>
    </dxf>
    <dxf>
      <numFmt numFmtId="13" formatCode="0%"/>
    </dxf>
    <dxf>
      <numFmt numFmtId="165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82550</xdr:colOff>
      <xdr:row>0</xdr:row>
      <xdr:rowOff>88900</xdr:rowOff>
    </xdr:from>
    <xdr:to>
      <xdr:col>23</xdr:col>
      <xdr:colOff>393700</xdr:colOff>
      <xdr:row>3</xdr:row>
      <xdr:rowOff>88900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82550" y="88900"/>
          <a:ext cx="10363200" cy="552450"/>
          <a:chOff x="82550" y="88900"/>
          <a:chExt cx="10363200" cy="552450"/>
        </a:xfrm>
      </xdr:grpSpPr>
      <xdr:sp macro="[0]!GoToStudentData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82550" y="88900"/>
            <a:ext cx="1155700" cy="552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 Data</a:t>
            </a:r>
          </a:p>
        </xdr:txBody>
      </xdr:sp>
      <xdr:sp macro="[0]!GoToAdvisorData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4460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 Data</a:t>
            </a:r>
          </a:p>
        </xdr:txBody>
      </xdr:sp>
      <xdr:sp macro="[0]!GoToCourseConflictData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4066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Course Conflict Data</a:t>
            </a:r>
          </a:p>
        </xdr:txBody>
      </xdr:sp>
      <xdr:sp macro="[0]!GoToDashboard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5687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Dashboard</a:t>
            </a:r>
          </a:p>
        </xdr:txBody>
      </xdr:sp>
      <xdr:sp macro="[0]!GoToAddStudents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7371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Students</a:t>
            </a:r>
          </a:p>
        </xdr:txBody>
      </xdr:sp>
      <xdr:sp macro="[0]!GoToStudentMatching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59055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</a:t>
            </a:r>
            <a:r>
              <a:rPr lang="en-US" sz="1100" baseline="0"/>
              <a:t> </a:t>
            </a:r>
            <a:r>
              <a:rPr lang="en-US" sz="1100"/>
              <a:t>Matching</a:t>
            </a:r>
          </a:p>
        </xdr:txBody>
      </xdr:sp>
      <xdr:sp macro="[0]!GoToAdvisorSchedule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70739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</a:t>
            </a:r>
            <a:r>
              <a:rPr lang="en-US" sz="1100" baseline="0"/>
              <a:t> Schedule</a:t>
            </a:r>
            <a:endParaRPr lang="en-US" sz="1100"/>
          </a:p>
        </xdr:txBody>
      </xdr:sp>
      <xdr:sp macro="[0]!GoToGeneralStat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8229600" y="88900"/>
            <a:ext cx="11557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General Statistics</a:t>
            </a:r>
          </a:p>
        </xdr:txBody>
      </xdr:sp>
      <xdr:sp macro="[0]!GoToSectionStat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91650" y="88900"/>
            <a:ext cx="10541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Section Statistics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63500</xdr:rowOff>
    </xdr:from>
    <xdr:to>
      <xdr:col>9</xdr:col>
      <xdr:colOff>628650</xdr:colOff>
      <xdr:row>3</xdr:row>
      <xdr:rowOff>63500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0800" y="63500"/>
          <a:ext cx="10363200" cy="552450"/>
          <a:chOff x="82550" y="88900"/>
          <a:chExt cx="10363200" cy="552450"/>
        </a:xfrm>
      </xdr:grpSpPr>
      <xdr:sp macro="[0]!GoToStudentData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825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 Data</a:t>
            </a:r>
          </a:p>
        </xdr:txBody>
      </xdr:sp>
      <xdr:sp macro="[0]!GoToAdvisorData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1244600" y="88900"/>
            <a:ext cx="1155700" cy="552450"/>
          </a:xfrm>
          <a:prstGeom prst="rect">
            <a:avLst/>
          </a:prstGeom>
          <a:solidFill>
            <a:schemeClr val="accent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 Data</a:t>
            </a:r>
          </a:p>
        </xdr:txBody>
      </xdr:sp>
      <xdr:sp macro="[0]!GoToCourseConflictData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24066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Course Conflict Data</a:t>
            </a:r>
          </a:p>
        </xdr:txBody>
      </xdr:sp>
      <xdr:sp macro="[0]!GoToDashboard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5687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Dashboard</a:t>
            </a:r>
          </a:p>
        </xdr:txBody>
      </xdr:sp>
      <xdr:sp macro="[0]!GoToAddStudents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47371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Students</a:t>
            </a:r>
          </a:p>
        </xdr:txBody>
      </xdr:sp>
      <xdr:sp macro="[0]!GoToStudentMatching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59055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</a:t>
            </a:r>
            <a:r>
              <a:rPr lang="en-US" sz="1100" baseline="0"/>
              <a:t> </a:t>
            </a:r>
            <a:r>
              <a:rPr lang="en-US" sz="1100"/>
              <a:t>Matching</a:t>
            </a:r>
          </a:p>
        </xdr:txBody>
      </xdr:sp>
      <xdr:sp macro="[0]!GoToAdvisorSchedul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70739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</a:t>
            </a:r>
            <a:r>
              <a:rPr lang="en-US" sz="1100" baseline="0"/>
              <a:t> Schedule</a:t>
            </a:r>
            <a:endParaRPr lang="en-US" sz="1100"/>
          </a:p>
        </xdr:txBody>
      </xdr:sp>
      <xdr:sp macro="[0]!GoToGeneralStats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8229600" y="88900"/>
            <a:ext cx="11557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General Statistics</a:t>
            </a:r>
          </a:p>
        </xdr:txBody>
      </xdr:sp>
      <xdr:sp macro="[0]!GoToSectionStats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9391650" y="88900"/>
            <a:ext cx="10541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Section Statistics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57150</xdr:rowOff>
    </xdr:from>
    <xdr:to>
      <xdr:col>7</xdr:col>
      <xdr:colOff>3994150</xdr:colOff>
      <xdr:row>3</xdr:row>
      <xdr:rowOff>57150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50800" y="57150"/>
          <a:ext cx="10363200" cy="552450"/>
          <a:chOff x="82550" y="88900"/>
          <a:chExt cx="10363200" cy="552450"/>
        </a:xfrm>
      </xdr:grpSpPr>
      <xdr:sp macro="[0]!GoToStudentData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825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 Data</a:t>
            </a:r>
          </a:p>
        </xdr:txBody>
      </xdr:sp>
      <xdr:sp macro="[0]!GoToAdvisorData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24460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 Data</a:t>
            </a:r>
          </a:p>
        </xdr:txBody>
      </xdr:sp>
      <xdr:sp macro="[0]!GoToCourseConflict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2406650" y="88900"/>
            <a:ext cx="1155700" cy="552450"/>
          </a:xfrm>
          <a:prstGeom prst="rect">
            <a:avLst/>
          </a:prstGeom>
          <a:solidFill>
            <a:schemeClr val="accent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Course Conflict Data</a:t>
            </a:r>
          </a:p>
        </xdr:txBody>
      </xdr:sp>
      <xdr:sp macro="[0]!GoToDashboard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35687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Dashboard</a:t>
            </a:r>
          </a:p>
        </xdr:txBody>
      </xdr:sp>
      <xdr:sp macro="[0]!GoToAddStudent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7371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Students</a:t>
            </a:r>
          </a:p>
        </xdr:txBody>
      </xdr:sp>
      <xdr:sp macro="[0]!GoToStudentMatching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59055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</a:t>
            </a:r>
            <a:r>
              <a:rPr lang="en-US" sz="1100" baseline="0"/>
              <a:t> </a:t>
            </a:r>
            <a:r>
              <a:rPr lang="en-US" sz="1100"/>
              <a:t>Matching</a:t>
            </a:r>
          </a:p>
        </xdr:txBody>
      </xdr:sp>
      <xdr:sp macro="[0]!GoToAdvisorSchedul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70739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</a:t>
            </a:r>
            <a:r>
              <a:rPr lang="en-US" sz="1100" baseline="0"/>
              <a:t> Schedule</a:t>
            </a:r>
            <a:endParaRPr lang="en-US" sz="1100"/>
          </a:p>
        </xdr:txBody>
      </xdr:sp>
      <xdr:sp macro="[0]!GoToGeneralStats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8229600" y="88900"/>
            <a:ext cx="11557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General Statistics</a:t>
            </a:r>
          </a:p>
        </xdr:txBody>
      </xdr:sp>
      <xdr:sp macro="[0]!GoToSectionStat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9391650" y="88900"/>
            <a:ext cx="10541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Section Statistics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5</xdr:row>
          <xdr:rowOff>139700</xdr:rowOff>
        </xdr:from>
        <xdr:to>
          <xdr:col>3</xdr:col>
          <xdr:colOff>349250</xdr:colOff>
          <xdr:row>16</xdr:row>
          <xdr:rowOff>63500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pSpPr/>
          </xdr:nvGrpSpPr>
          <xdr:grpSpPr>
            <a:xfrm>
              <a:off x="723900" y="1066800"/>
              <a:ext cx="1454150" cy="1949450"/>
              <a:chOff x="793750" y="330200"/>
              <a:chExt cx="1454150" cy="1949450"/>
            </a:xfrm>
          </xdr:grpSpPr>
          <xdr:sp macro="" textlink="">
            <xdr:nvSpPr>
              <xdr:cNvPr id="4097" name="Button 1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600-000001100000}"/>
                  </a:ext>
                </a:extLst>
              </xdr:cNvPr>
              <xdr:cNvSpPr/>
            </xdr:nvSpPr>
            <xdr:spPr bwMode="auto">
              <a:xfrm>
                <a:off x="793750" y="1066800"/>
                <a:ext cx="1454150" cy="5461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Run Scheduling/Matching Algorithm</a:t>
                </a:r>
              </a:p>
            </xdr:txBody>
          </xdr:sp>
          <xdr:sp macro="" textlink="">
            <xdr:nvSpPr>
              <xdr:cNvPr id="4102" name="Button 6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600-000006100000}"/>
                  </a:ext>
                </a:extLst>
              </xdr:cNvPr>
              <xdr:cNvSpPr/>
            </xdr:nvSpPr>
            <xdr:spPr bwMode="auto">
              <a:xfrm>
                <a:off x="793750" y="1733550"/>
                <a:ext cx="1454150" cy="5461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Data</a:t>
                </a:r>
              </a:p>
            </xdr:txBody>
          </xdr:sp>
          <xdr:sp macro="" textlink="">
            <xdr:nvSpPr>
              <xdr:cNvPr id="4105" name="Button 9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600-000009100000}"/>
                  </a:ext>
                </a:extLst>
              </xdr:cNvPr>
              <xdr:cNvSpPr/>
            </xdr:nvSpPr>
            <xdr:spPr bwMode="auto">
              <a:xfrm>
                <a:off x="793750" y="330200"/>
                <a:ext cx="1454150" cy="5461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Run Pre-Check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absolute">
    <xdr:from>
      <xdr:col>0</xdr:col>
      <xdr:colOff>44450</xdr:colOff>
      <xdr:row>0</xdr:row>
      <xdr:rowOff>50800</xdr:rowOff>
    </xdr:from>
    <xdr:to>
      <xdr:col>7</xdr:col>
      <xdr:colOff>1009650</xdr:colOff>
      <xdr:row>3</xdr:row>
      <xdr:rowOff>50800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4450" y="50800"/>
          <a:ext cx="10363200" cy="552450"/>
          <a:chOff x="82550" y="88900"/>
          <a:chExt cx="10363200" cy="552450"/>
        </a:xfrm>
      </xdr:grpSpPr>
      <xdr:sp macro="[0]!GoToStudentData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825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 Data</a:t>
            </a:r>
          </a:p>
        </xdr:txBody>
      </xdr:sp>
      <xdr:sp macro="[0]!GoToAdvisor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24460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 Data</a:t>
            </a:r>
          </a:p>
        </xdr:txBody>
      </xdr:sp>
      <xdr:sp macro="[0]!GoToCourseConflictData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24066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Course Conflict Data</a:t>
            </a:r>
          </a:p>
        </xdr:txBody>
      </xdr:sp>
      <xdr:sp macro="[0]!GoToDashboard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3568700" y="88900"/>
            <a:ext cx="1155700" cy="55245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Dashboard</a:t>
            </a:r>
          </a:p>
        </xdr:txBody>
      </xdr:sp>
      <xdr:sp macro="[0]!GoToAddStudent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47371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Students</a:t>
            </a:r>
          </a:p>
        </xdr:txBody>
      </xdr:sp>
      <xdr:sp macro="[0]!GoToStudentMatching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59055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</a:t>
            </a:r>
            <a:r>
              <a:rPr lang="en-US" sz="1100" baseline="0"/>
              <a:t> </a:t>
            </a:r>
            <a:r>
              <a:rPr lang="en-US" sz="1100"/>
              <a:t>Matching</a:t>
            </a:r>
          </a:p>
        </xdr:txBody>
      </xdr:sp>
      <xdr:sp macro="[0]!GoToAdvisorSchedul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70739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</a:t>
            </a:r>
            <a:r>
              <a:rPr lang="en-US" sz="1100" baseline="0"/>
              <a:t> Schedule</a:t>
            </a:r>
            <a:endParaRPr lang="en-US" sz="1100"/>
          </a:p>
        </xdr:txBody>
      </xdr:sp>
      <xdr:sp macro="[0]!GoToGeneralStats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8229600" y="88900"/>
            <a:ext cx="11557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General Statistics</a:t>
            </a:r>
          </a:p>
        </xdr:txBody>
      </xdr:sp>
      <xdr:sp macro="[0]!GoToSectionStats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9391650" y="88900"/>
            <a:ext cx="10541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Section Statistics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184150</xdr:colOff>
          <xdr:row>6</xdr:row>
          <xdr:rowOff>158750</xdr:rowOff>
        </xdr:from>
        <xdr:to>
          <xdr:col>8</xdr:col>
          <xdr:colOff>482600</xdr:colOff>
          <xdr:row>9</xdr:row>
          <xdr:rowOff>82550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students to sections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63500</xdr:rowOff>
    </xdr:from>
    <xdr:to>
      <xdr:col>15</xdr:col>
      <xdr:colOff>539750</xdr:colOff>
      <xdr:row>3</xdr:row>
      <xdr:rowOff>63500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31750" y="63500"/>
          <a:ext cx="10363200" cy="552450"/>
          <a:chOff x="82550" y="88900"/>
          <a:chExt cx="10363200" cy="552450"/>
        </a:xfrm>
      </xdr:grpSpPr>
      <xdr:sp macro="[0]!GoToStudentData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825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 Data</a:t>
            </a:r>
          </a:p>
        </xdr:txBody>
      </xdr:sp>
      <xdr:sp macro="[0]!GoToAdvisor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24460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 Data</a:t>
            </a:r>
          </a:p>
        </xdr:txBody>
      </xdr:sp>
      <xdr:sp macro="[0]!GoToCourseConflictData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24066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Course Conflict Data</a:t>
            </a:r>
          </a:p>
        </xdr:txBody>
      </xdr:sp>
      <xdr:sp macro="[0]!GoToDashboard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5687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Dashboard</a:t>
            </a:r>
          </a:p>
        </xdr:txBody>
      </xdr:sp>
      <xdr:sp macro="[0]!GoToAddStudents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4737100" y="88900"/>
            <a:ext cx="1155700" cy="55245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Students</a:t>
            </a:r>
          </a:p>
        </xdr:txBody>
      </xdr:sp>
      <xdr:sp macro="[0]!GoToStudentMatching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59055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</a:t>
            </a:r>
            <a:r>
              <a:rPr lang="en-US" sz="1100" baseline="0"/>
              <a:t> </a:t>
            </a:r>
            <a:r>
              <a:rPr lang="en-US" sz="1100"/>
              <a:t>Matching</a:t>
            </a:r>
          </a:p>
        </xdr:txBody>
      </xdr:sp>
      <xdr:sp macro="[0]!GoToAdvisorSchedule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70739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</a:t>
            </a:r>
            <a:r>
              <a:rPr lang="en-US" sz="1100" baseline="0"/>
              <a:t> Schedule</a:t>
            </a:r>
            <a:endParaRPr lang="en-US" sz="1100"/>
          </a:p>
        </xdr:txBody>
      </xdr:sp>
      <xdr:sp macro="[0]!GoToGeneralStat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8229600" y="88900"/>
            <a:ext cx="11557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General Statistics</a:t>
            </a:r>
          </a:p>
        </xdr:txBody>
      </xdr:sp>
      <xdr:sp macro="[0]!GoToSectionStat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9391650" y="88900"/>
            <a:ext cx="10541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Section Statistics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44450</xdr:colOff>
      <xdr:row>0</xdr:row>
      <xdr:rowOff>50800</xdr:rowOff>
    </xdr:from>
    <xdr:to>
      <xdr:col>17</xdr:col>
      <xdr:colOff>146050</xdr:colOff>
      <xdr:row>3</xdr:row>
      <xdr:rowOff>50800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44450" y="50800"/>
          <a:ext cx="10363200" cy="552450"/>
          <a:chOff x="82550" y="88900"/>
          <a:chExt cx="10363200" cy="552450"/>
        </a:xfrm>
      </xdr:grpSpPr>
      <xdr:sp macro="[0]!GoToStudentData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825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 Data</a:t>
            </a:r>
          </a:p>
        </xdr:txBody>
      </xdr:sp>
      <xdr:sp macro="[0]!GoToAdvisorData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24460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 Data</a:t>
            </a:r>
          </a:p>
        </xdr:txBody>
      </xdr:sp>
      <xdr:sp macro="[0]!GoToCourseConflict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24066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Course Conflict Data</a:t>
            </a:r>
          </a:p>
        </xdr:txBody>
      </xdr:sp>
      <xdr:sp macro="[0]!GoToDashboard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35687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Dashboard</a:t>
            </a:r>
          </a:p>
        </xdr:txBody>
      </xdr:sp>
      <xdr:sp macro="[0]!GoToAddStudent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47371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Students</a:t>
            </a:r>
          </a:p>
        </xdr:txBody>
      </xdr:sp>
      <xdr:sp macro="[0]!GoToStudentMatching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5905500" y="88900"/>
            <a:ext cx="1155700" cy="552450"/>
          </a:xfrm>
          <a:prstGeom prst="rect">
            <a:avLst/>
          </a:prstGeom>
          <a:solidFill>
            <a:schemeClr val="accent2">
              <a:lumMod val="50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</a:t>
            </a:r>
            <a:r>
              <a:rPr lang="en-US" sz="1100" baseline="0"/>
              <a:t> </a:t>
            </a:r>
            <a:r>
              <a:rPr lang="en-US" sz="1100"/>
              <a:t>Matching</a:t>
            </a:r>
          </a:p>
        </xdr:txBody>
      </xdr:sp>
      <xdr:sp macro="[0]!GoToAdvisorSchedul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70739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</a:t>
            </a:r>
            <a:r>
              <a:rPr lang="en-US" sz="1100" baseline="0"/>
              <a:t> Schedule</a:t>
            </a:r>
            <a:endParaRPr lang="en-US" sz="1100"/>
          </a:p>
        </xdr:txBody>
      </xdr:sp>
      <xdr:sp macro="[0]!GoToGeneralStats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8229600" y="88900"/>
            <a:ext cx="11557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General Statistics</a:t>
            </a:r>
          </a:p>
        </xdr:txBody>
      </xdr:sp>
      <xdr:sp macro="[0]!GoToSectionStat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/>
        </xdr:nvSpPr>
        <xdr:spPr>
          <a:xfrm>
            <a:off x="9391650" y="88900"/>
            <a:ext cx="10541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Section Statistics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57150</xdr:rowOff>
    </xdr:from>
    <xdr:to>
      <xdr:col>17</xdr:col>
      <xdr:colOff>317500</xdr:colOff>
      <xdr:row>3</xdr:row>
      <xdr:rowOff>57150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50800" y="57150"/>
          <a:ext cx="10363200" cy="552450"/>
          <a:chOff x="82550" y="88900"/>
          <a:chExt cx="10363200" cy="552450"/>
        </a:xfrm>
      </xdr:grpSpPr>
      <xdr:sp macro="[0]!GoToStudentData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825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 Data</a:t>
            </a:r>
          </a:p>
        </xdr:txBody>
      </xdr:sp>
      <xdr:sp macro="[0]!GoToAdvisorData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24460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 Data</a:t>
            </a:r>
          </a:p>
        </xdr:txBody>
      </xdr:sp>
      <xdr:sp macro="[0]!GoToCourseConflict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24066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Course Conflict Data</a:t>
            </a:r>
          </a:p>
        </xdr:txBody>
      </xdr:sp>
      <xdr:sp macro="[0]!GoToDashboard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>
            <a:off x="35687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Dashboard</a:t>
            </a:r>
          </a:p>
        </xdr:txBody>
      </xdr:sp>
      <xdr:sp macro="[0]!GoToAddStudent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47371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Students</a:t>
            </a:r>
          </a:p>
        </xdr:txBody>
      </xdr:sp>
      <xdr:sp macro="[0]!GoToStudentMatching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59055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</a:t>
            </a:r>
            <a:r>
              <a:rPr lang="en-US" sz="1100" baseline="0"/>
              <a:t> </a:t>
            </a:r>
            <a:r>
              <a:rPr lang="en-US" sz="1100"/>
              <a:t>Matching</a:t>
            </a:r>
          </a:p>
        </xdr:txBody>
      </xdr:sp>
      <xdr:sp macro="[0]!GoToAdvisorSchedul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7073900" y="88900"/>
            <a:ext cx="1155700" cy="552450"/>
          </a:xfrm>
          <a:prstGeom prst="rect">
            <a:avLst/>
          </a:prstGeom>
          <a:solidFill>
            <a:schemeClr val="accent2">
              <a:lumMod val="50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</a:t>
            </a:r>
            <a:r>
              <a:rPr lang="en-US" sz="1100" baseline="0"/>
              <a:t> Schedule</a:t>
            </a:r>
            <a:endParaRPr lang="en-US" sz="1100"/>
          </a:p>
        </xdr:txBody>
      </xdr:sp>
      <xdr:sp macro="[0]!GoToGeneralStats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8229600" y="88900"/>
            <a:ext cx="11557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General Statistics</a:t>
            </a:r>
          </a:p>
        </xdr:txBody>
      </xdr:sp>
      <xdr:sp macro="[0]!GoToSectionStat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9391650" y="88900"/>
            <a:ext cx="10541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Section Statistics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44450</xdr:colOff>
      <xdr:row>0</xdr:row>
      <xdr:rowOff>57150</xdr:rowOff>
    </xdr:from>
    <xdr:to>
      <xdr:col>10</xdr:col>
      <xdr:colOff>793750</xdr:colOff>
      <xdr:row>3</xdr:row>
      <xdr:rowOff>57150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44450" y="57150"/>
          <a:ext cx="10363200" cy="552450"/>
          <a:chOff x="82550" y="88900"/>
          <a:chExt cx="10363200" cy="552450"/>
        </a:xfrm>
      </xdr:grpSpPr>
      <xdr:sp macro="[0]!GoToStudentData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825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 Data</a:t>
            </a:r>
          </a:p>
        </xdr:txBody>
      </xdr:sp>
      <xdr:sp macro="[0]!GoToAdvisorData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24460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 Data</a:t>
            </a:r>
          </a:p>
        </xdr:txBody>
      </xdr:sp>
      <xdr:sp macro="[0]!GoToCourseConflict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>
            <a:off x="24066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Course Conflict Data</a:t>
            </a:r>
          </a:p>
        </xdr:txBody>
      </xdr:sp>
      <xdr:sp macro="[0]!GoToDashboard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>
            <a:off x="35687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Dashboard</a:t>
            </a:r>
          </a:p>
        </xdr:txBody>
      </xdr:sp>
      <xdr:sp macro="[0]!GoToAddStudent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47371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Students</a:t>
            </a:r>
          </a:p>
        </xdr:txBody>
      </xdr:sp>
      <xdr:sp macro="[0]!GoToStudentMatching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/>
        </xdr:nvSpPr>
        <xdr:spPr>
          <a:xfrm>
            <a:off x="59055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</a:t>
            </a:r>
            <a:r>
              <a:rPr lang="en-US" sz="1100" baseline="0"/>
              <a:t> </a:t>
            </a:r>
            <a:r>
              <a:rPr lang="en-US" sz="1100"/>
              <a:t>Matching</a:t>
            </a:r>
          </a:p>
        </xdr:txBody>
      </xdr:sp>
      <xdr:sp macro="[0]!GoToAdvisorSchedul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/>
        </xdr:nvSpPr>
        <xdr:spPr>
          <a:xfrm>
            <a:off x="70739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</a:t>
            </a:r>
            <a:r>
              <a:rPr lang="en-US" sz="1100" baseline="0"/>
              <a:t> Schedule</a:t>
            </a:r>
            <a:endParaRPr lang="en-US" sz="1100"/>
          </a:p>
        </xdr:txBody>
      </xdr:sp>
      <xdr:sp macro="[0]!GoToGeneralStats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/>
        </xdr:nvSpPr>
        <xdr:spPr>
          <a:xfrm>
            <a:off x="8229600" y="88900"/>
            <a:ext cx="1155700" cy="552450"/>
          </a:xfrm>
          <a:prstGeom prst="rect">
            <a:avLst/>
          </a:prstGeom>
          <a:solidFill>
            <a:schemeClr val="tx2">
              <a:lumMod val="60000"/>
              <a:lumOff val="40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General Statistics</a:t>
            </a:r>
          </a:p>
        </xdr:txBody>
      </xdr:sp>
      <xdr:sp macro="[0]!GoToSectionStat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/>
        </xdr:nvSpPr>
        <xdr:spPr>
          <a:xfrm>
            <a:off x="9391650" y="88900"/>
            <a:ext cx="10541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Section Statistics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69850</xdr:rowOff>
    </xdr:from>
    <xdr:to>
      <xdr:col>14</xdr:col>
      <xdr:colOff>95250</xdr:colOff>
      <xdr:row>3</xdr:row>
      <xdr:rowOff>69850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50800" y="69850"/>
          <a:ext cx="10363200" cy="552450"/>
          <a:chOff x="82550" y="88900"/>
          <a:chExt cx="10363200" cy="552450"/>
        </a:xfrm>
      </xdr:grpSpPr>
      <xdr:sp macro="[0]!GoToStudentData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825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 Data</a:t>
            </a:r>
          </a:p>
        </xdr:txBody>
      </xdr:sp>
      <xdr:sp macro="[0]!GoToAdvisorData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124460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Advisor Data</a:t>
            </a:r>
          </a:p>
        </xdr:txBody>
      </xdr:sp>
      <xdr:sp macro="[0]!GoToCourseConflict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>
            <a:off x="2406650" y="88900"/>
            <a:ext cx="1155700" cy="5524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Course Conflict Data</a:t>
            </a:r>
          </a:p>
        </xdr:txBody>
      </xdr:sp>
      <xdr:sp macro="[0]!GoToDashboard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>
            <a:off x="35687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Dashboard</a:t>
            </a:r>
          </a:p>
        </xdr:txBody>
      </xdr:sp>
      <xdr:sp macro="[0]!GoToAddStudent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4737100" y="88900"/>
            <a:ext cx="1155700" cy="5524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Students</a:t>
            </a:r>
          </a:p>
        </xdr:txBody>
      </xdr:sp>
      <xdr:sp macro="[0]!GoToStudentMatching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/>
        </xdr:nvSpPr>
        <xdr:spPr>
          <a:xfrm>
            <a:off x="59055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Student</a:t>
            </a:r>
            <a:r>
              <a:rPr lang="en-US" sz="1100" baseline="0"/>
              <a:t> </a:t>
            </a:r>
            <a:r>
              <a:rPr lang="en-US" sz="1100"/>
              <a:t>Matching</a:t>
            </a:r>
          </a:p>
        </xdr:txBody>
      </xdr:sp>
      <xdr:sp macro="[0]!GoToAdvisorSchedul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/>
        </xdr:nvSpPr>
        <xdr:spPr>
          <a:xfrm>
            <a:off x="7073900" y="88900"/>
            <a:ext cx="1155700" cy="5524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Advisior</a:t>
            </a:r>
            <a:r>
              <a:rPr lang="en-US" sz="1100" baseline="0"/>
              <a:t> Schedule</a:t>
            </a:r>
            <a:endParaRPr lang="en-US" sz="1100"/>
          </a:p>
        </xdr:txBody>
      </xdr:sp>
      <xdr:sp macro="[0]!GoToGeneralStats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/>
        </xdr:nvSpPr>
        <xdr:spPr>
          <a:xfrm>
            <a:off x="8229600" y="88900"/>
            <a:ext cx="1155700" cy="5524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General Statistics</a:t>
            </a:r>
          </a:p>
        </xdr:txBody>
      </xdr:sp>
      <xdr:sp macro="[0]!GoToSectionStat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/>
        </xdr:nvSpPr>
        <xdr:spPr>
          <a:xfrm>
            <a:off x="9391650" y="88900"/>
            <a:ext cx="1054100" cy="552450"/>
          </a:xfrm>
          <a:prstGeom prst="rect">
            <a:avLst/>
          </a:prstGeom>
          <a:solidFill>
            <a:schemeClr val="tx2">
              <a:lumMod val="60000"/>
              <a:lumOff val="40000"/>
            </a:schemeClr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Section Statistics</a:t>
            </a: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Gloria D'Azevedo" refreshedDate="42876.537544444443" createdVersion="6" refreshedVersion="6" minRefreshableVersion="3" recordCount="792">
  <cacheSource type="worksheet">
    <worksheetSource ref="A1:Y793" sheet="Solution_Output"/>
  </cacheSource>
  <cacheFields count="25">
    <cacheField name="Student" numFmtId="0">
      <sharedItems containsSemiMixedTypes="0" containsString="0" containsNumber="1" containsInteger="1" minValue="3059" maxValue="3850"/>
    </cacheField>
    <cacheField name="Advisor" numFmtId="0">
      <sharedItems count="45">
        <s v="am699"/>
        <s v="atz2"/>
        <s v="awb8"/>
        <s v="cf99"/>
        <s v="cje23"/>
        <s v="crp10"/>
        <s v="cs639"/>
        <s v="deh262"/>
        <s v="dlh37"/>
        <s v="fy86"/>
        <s v="gl428"/>
        <s v="gs272"/>
        <s v="hk478"/>
        <s v="id93"/>
        <s v="jam262"/>
        <s v="jdb20"/>
        <s v="jfm37"/>
        <s v="jjp274"/>
        <s v="jl2792"/>
        <s v="jre7"/>
        <s v="jwt54"/>
        <s v="lb244"/>
        <s v="ldb7"/>
        <s v="mdg12"/>
        <s v="mp337"/>
        <s v="nab83"/>
        <s v="pd83"/>
        <s v="phs7"/>
        <s v="pmr82"/>
        <s v="qz16"/>
        <s v="ra477"/>
        <s v="rb737"/>
        <s v="rdr82"/>
        <s v="rgb6"/>
        <s v="rhr2"/>
        <s v="rrk1"/>
        <s v="rvl1"/>
        <s v="sbw11"/>
        <s v="sda4"/>
        <s v="sf375"/>
        <s v="sga42"/>
        <s v="slp6"/>
        <s v="spb14"/>
        <s v="wdp2"/>
        <s v="wmw4"/>
      </sharedItems>
    </cacheField>
    <cacheField name="MajorChoiceMatch" numFmtId="0">
      <sharedItems count="15">
        <s v="ECE"/>
        <s v="BE"/>
        <s v="ME"/>
        <s v="MSE"/>
        <s v="BME"/>
        <s v="EP"/>
        <s v="CE"/>
        <s v="EnvirE"/>
        <s v="CS"/>
        <s v="CHEME"/>
        <s v="Undecided"/>
        <s v="OR"/>
        <s v="SES"/>
        <s v="ISST"/>
        <s v="Pre-health"/>
      </sharedItems>
    </cacheField>
    <cacheField name="Time" numFmtId="0">
      <sharedItems/>
    </cacheField>
    <cacheField name="Gender" numFmtId="0">
      <sharedItems containsSemiMixedTypes="0" containsString="0" containsNumber="1" containsInteger="1" minValue="0" maxValue="1" count="2">
        <n v="0"/>
        <n v="1"/>
      </sharedItems>
    </cacheField>
    <cacheField name="URM" numFmtId="0">
      <sharedItems containsSemiMixedTypes="0" containsString="0" containsNumber="1" containsInteger="1" minValue="0" maxValue="1" count="2">
        <n v="0"/>
        <n v="1"/>
      </sharedItems>
    </cacheField>
    <cacheField name="Hispanic" numFmtId="0">
      <sharedItems containsSemiMixedTypes="0" containsString="0" containsNumber="1" containsInteger="1" minValue="0" maxValue="1" count="2">
        <n v="0"/>
        <n v="1"/>
      </sharedItems>
    </cacheField>
    <cacheField name="MatchType" numFmtId="0">
      <sharedItems/>
    </cacheField>
    <cacheField name="MatchValue" numFmtId="0">
      <sharedItems containsSemiMixedTypes="0" containsString="0" containsNumber="1" containsInteger="1" minValue="2" maxValue="10"/>
    </cacheField>
    <cacheField name="BE" numFmtId="0">
      <sharedItems containsSemiMixedTypes="0" containsString="0" containsNumber="1" containsInteger="1" minValue="0" maxValue="8"/>
    </cacheField>
    <cacheField name="BME" numFmtId="0">
      <sharedItems containsSemiMixedTypes="0" containsString="0" containsNumber="1" containsInteger="1" minValue="0" maxValue="10"/>
    </cacheField>
    <cacheField name="CE" numFmtId="0">
      <sharedItems containsSemiMixedTypes="0" containsString="0" containsNumber="1" containsInteger="1" minValue="0" maxValue="9"/>
    </cacheField>
    <cacheField name="CHEME" numFmtId="0">
      <sharedItems containsSemiMixedTypes="0" containsString="0" containsNumber="1" containsInteger="1" minValue="0" maxValue="8"/>
    </cacheField>
    <cacheField name="CS" numFmtId="0">
      <sharedItems containsSemiMixedTypes="0" containsString="0" containsNumber="1" containsInteger="1" minValue="0" maxValue="10"/>
    </cacheField>
    <cacheField name="ECE" numFmtId="0">
      <sharedItems containsSemiMixedTypes="0" containsString="0" containsNumber="1" containsInteger="1" minValue="0" maxValue="8"/>
    </cacheField>
    <cacheField name="EnvirE" numFmtId="0">
      <sharedItems containsSemiMixedTypes="0" containsString="0" containsNumber="1" containsInteger="1" minValue="0" maxValue="8"/>
    </cacheField>
    <cacheField name="EP" numFmtId="0">
      <sharedItems containsSemiMixedTypes="0" containsString="0" containsNumber="1" containsInteger="1" minValue="0" maxValue="8"/>
    </cacheField>
    <cacheField name="ISST" numFmtId="0">
      <sharedItems containsSemiMixedTypes="0" containsString="0" containsNumber="1" containsInteger="1" minValue="0" maxValue="8"/>
    </cacheField>
    <cacheField name="ME" numFmtId="0">
      <sharedItems containsSemiMixedTypes="0" containsString="0" containsNumber="1" containsInteger="1" minValue="0" maxValue="10"/>
    </cacheField>
    <cacheField name="MSE" numFmtId="0">
      <sharedItems containsSemiMixedTypes="0" containsString="0" containsNumber="1" containsInteger="1" minValue="0" maxValue="8"/>
    </cacheField>
    <cacheField name="OR" numFmtId="0">
      <sharedItems containsSemiMixedTypes="0" containsString="0" containsNumber="1" containsInteger="1" minValue="0" maxValue="10"/>
    </cacheField>
    <cacheField name="Pre-health" numFmtId="0">
      <sharedItems containsSemiMixedTypes="0" containsString="0" containsNumber="1" containsInteger="1" minValue="0" maxValue="8"/>
    </cacheField>
    <cacheField name="SES" numFmtId="0">
      <sharedItems containsSemiMixedTypes="0" containsString="0" containsNumber="1" containsInteger="1" minValue="0" maxValue="8"/>
    </cacheField>
    <cacheField name="Undecided" numFmtId="0">
      <sharedItems containsSemiMixedTypes="0" containsString="0" containsNumber="1" containsInteger="1" minValue="0" maxValue="10"/>
    </cacheField>
    <cacheField name="AdvisorDep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7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B7:E10" firstHeaderRow="0" firstDataRow="1" firstDataCol="2"/>
  <pivotFields count="2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3">
    <i>
      <x/>
      <x/>
    </i>
    <i r="1">
      <x v="1"/>
    </i>
    <i>
      <x v="1"/>
      <x/>
    </i>
  </rowItems>
  <colFields count="1">
    <field x="-2"/>
  </colFields>
  <colItems count="2">
    <i>
      <x/>
    </i>
    <i i="1">
      <x v="1"/>
    </i>
  </colItems>
  <dataFields count="2">
    <dataField name="Number of Students" fld="1" subtotal="count" baseField="6" baseItem="0"/>
    <dataField name="Percent Breakdown" fld="1" subtotal="count" showDataAs="percentOfCol" baseField="6" baseItem="0" numFmtId="9"/>
  </dataFields>
  <formats count="2"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2.xml><?xml version="1.0" encoding="utf-8"?>
<pivotTableDefinition xmlns="http://schemas.openxmlformats.org/spreadsheetml/2006/main" name="PivotTable2" cacheId="37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C14:E16" firstHeaderRow="0" firstDataRow="1" firstDataCol="1"/>
  <pivotFields count="2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2">
    <i>
      <x/>
    </i>
    <i>
      <x v="1"/>
    </i>
  </rowItems>
  <colFields count="1">
    <field x="-2"/>
  </colFields>
  <colItems count="2">
    <i>
      <x/>
    </i>
    <i i="1">
      <x v="1"/>
    </i>
  </colItems>
  <dataFields count="2">
    <dataField name="Number of Students" fld="1" subtotal="count" baseField="4" baseItem="1"/>
    <dataField name="Percent Breakdown" fld="1" subtotal="count" showDataAs="percentOfCol" baseField="4" baseItem="0" numFmtId="9"/>
  </dataFields>
  <formats count="2">
    <format dxfId="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3.xml><?xml version="1.0" encoding="utf-8"?>
<pivotTableDefinition xmlns="http://schemas.openxmlformats.org/spreadsheetml/2006/main" name="PivotTable3" cacheId="37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9:C55" firstHeaderRow="1" firstDataRow="2" firstDataCol="1"/>
  <pivotFields count="2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ubtotalTop="0" showAll="0" defaultSubtotal="0">
      <items count="45">
        <item x="43"/>
        <item x="28"/>
        <item x="7"/>
        <item x="26"/>
        <item x="18"/>
        <item x="8"/>
        <item x="22"/>
        <item x="2"/>
        <item x="32"/>
        <item x="40"/>
        <item x="5"/>
        <item x="39"/>
        <item x="6"/>
        <item x="14"/>
        <item x="15"/>
        <item x="10"/>
        <item x="21"/>
        <item x="38"/>
        <item x="3"/>
        <item x="13"/>
        <item x="4"/>
        <item x="34"/>
        <item x="19"/>
        <item x="12"/>
        <item x="36"/>
        <item x="30"/>
        <item x="23"/>
        <item x="27"/>
        <item x="9"/>
        <item x="1"/>
        <item x="24"/>
        <item x="33"/>
        <item x="20"/>
        <item x="25"/>
        <item x="11"/>
        <item x="29"/>
        <item x="41"/>
        <item x="31"/>
        <item x="17"/>
        <item x="42"/>
        <item x="35"/>
        <item x="0"/>
        <item x="37"/>
        <item x="44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rowItems>
  <colFields count="1">
    <field x="4"/>
  </colFields>
  <colItems count="2">
    <i>
      <x/>
    </i>
    <i>
      <x v="1"/>
    </i>
  </colItems>
  <dataFields count="1">
    <dataField name="Percent Breakdown" fld="1" subtotal="count" showDataAs="percentOfRow" baseField="4" baseItem="0" numFmtId="9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4.xml><?xml version="1.0" encoding="utf-8"?>
<pivotTableDefinition xmlns="http://schemas.openxmlformats.org/spreadsheetml/2006/main" name="PivotTable4" cacheId="37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F8:I55" firstHeaderRow="1" firstDataRow="3" firstDataCol="1"/>
  <pivotFields count="2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ubtotalTop="0" showAll="0" defaultSubtotal="0">
      <items count="45">
        <item x="43"/>
        <item x="28"/>
        <item x="7"/>
        <item x="26"/>
        <item x="18"/>
        <item x="8"/>
        <item x="22"/>
        <item x="2"/>
        <item x="32"/>
        <item x="40"/>
        <item x="5"/>
        <item x="39"/>
        <item x="6"/>
        <item x="14"/>
        <item x="15"/>
        <item x="10"/>
        <item x="21"/>
        <item x="38"/>
        <item x="3"/>
        <item x="13"/>
        <item x="4"/>
        <item x="34"/>
        <item x="19"/>
        <item x="12"/>
        <item x="36"/>
        <item x="30"/>
        <item x="23"/>
        <item x="27"/>
        <item x="9"/>
        <item x="1"/>
        <item x="24"/>
        <item x="33"/>
        <item x="20"/>
        <item x="25"/>
        <item x="11"/>
        <item x="29"/>
        <item x="41"/>
        <item x="31"/>
        <item x="17"/>
        <item x="42"/>
        <item x="35"/>
        <item x="0"/>
        <item x="37"/>
        <item x="44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rowItems>
  <colFields count="2">
    <field x="5"/>
    <field x="6"/>
  </colFields>
  <colItems count="3">
    <i>
      <x/>
      <x/>
    </i>
    <i r="1">
      <x v="1"/>
    </i>
    <i>
      <x v="1"/>
      <x/>
    </i>
  </colItems>
  <dataFields count="1">
    <dataField name="Number of Students" fld="1" subtotal="count" baseField="4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pivotTables/pivotTable5.xml><?xml version="1.0" encoding="utf-8"?>
<pivotTableDefinition xmlns="http://schemas.openxmlformats.org/spreadsheetml/2006/main" name="PivotTable5" cacheId="37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9:AF55" firstHeaderRow="1" firstDataRow="2" firstDataCol="1"/>
  <pivotFields count="2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ubtotalTop="0" showAll="0" defaultSubtotal="0">
      <items count="45">
        <item x="43"/>
        <item x="28"/>
        <item x="7"/>
        <item x="26"/>
        <item x="18"/>
        <item x="8"/>
        <item x="22"/>
        <item x="2"/>
        <item x="32"/>
        <item x="40"/>
        <item x="5"/>
        <item x="39"/>
        <item x="6"/>
        <item x="14"/>
        <item x="15"/>
        <item x="10"/>
        <item x="21"/>
        <item x="38"/>
        <item x="3"/>
        <item x="13"/>
        <item x="4"/>
        <item x="34"/>
        <item x="19"/>
        <item x="12"/>
        <item x="36"/>
        <item x="30"/>
        <item x="23"/>
        <item x="27"/>
        <item x="9"/>
        <item x="1"/>
        <item x="24"/>
        <item x="33"/>
        <item x="20"/>
        <item x="25"/>
        <item x="11"/>
        <item x="29"/>
        <item x="41"/>
        <item x="31"/>
        <item x="17"/>
        <item x="42"/>
        <item x="35"/>
        <item x="0"/>
        <item x="37"/>
        <item x="44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15">
        <item x="1"/>
        <item x="6"/>
        <item x="9"/>
        <item x="8"/>
        <item x="0"/>
        <item x="7"/>
        <item x="5"/>
        <item x="2"/>
        <item x="3"/>
        <item x="11"/>
        <item x="14"/>
        <item x="12"/>
        <item x="10"/>
        <item x="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Percent Breakdown" fld="1" subtotal="count" baseField="4" baseItem="0"/>
  </dataFields>
  <formats count="3"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queryTables/queryTable1.xml><?xml version="1.0" encoding="utf-8"?>
<queryTable xmlns="http://schemas.openxmlformats.org/spreadsheetml/2006/main" name="ErrorPrint_53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rrorPrint_52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rrorPrint_19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rrorPrint_39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rrorPrint_2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rrorPrint_2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rrorPrint_26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rrorPrint_5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rrorPrint_42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rrorPrint_22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rrorPrint_41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rrorPrint_23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rrorPrint_36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rrorPrint_29" connectionId="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rrorPrint_31" connectionId="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rrorPrint_49" connectionId="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rrorPrint_28" connectionId="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rrorPrint_30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rrorPrint_5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rrorPrint_37" connectionId="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rrorPrint_48" connectionId="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rrorPrint_16" connectionId="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rrorPrint_18" connectionId="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rrorPrint_10" connectionId="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rrorPrint_25" connectionId="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rrorPrint_38" connectionId="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rrorPrint_33" connectionId="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rrorPrint_32" connectionId="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rrorPrint_8" connectionId="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rrorPrint_6" connectionId="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rrorPrint_9" connectionId="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rrorPrint_21" connectionId="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rrorPrint" connectionId="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rrorPrint_4" connectionId="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rrorPrint_47" connectionId="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rrorPrint_40" connectionId="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rrorPrint_46" connectionId="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rrorPrint_7" connectionId="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rrorPrint_15" connectionId="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rrorPrint_24" connectionId="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rrorPrint_27" connectionId="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rrorPrint_34" connectionId="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rrorPrint_17" connectionId="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rrorPrint_51" connectionId="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rrorPrint_1" connectionId="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rrorPrint_44" connectionId="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rrorPrint_43" connectionId="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rrorPrint_3" connectionId="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rrorPrint_35" connectionId="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SolutionOutput_32" connectionId="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SolutionOutput_3" connectionId="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SolutionOutput_20" connectionId="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SolutionOutput_9" connectionId="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SolutionOutput_4" connectionId="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SolutionOutput_26" connectionId="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SolutionOutput_15" connectionId="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SolutionOutput_22" connectionId="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SolutionOutput_10" connectionId="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SolutionOutput_27" connectionId="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SolutionOutput_5" connectionId="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SolutionOutput_12" connectionId="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SolutionOutput_18" connectionId="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SolutionOutput_21" connectionId="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SolutionOutput_25" connectionId="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SolutionOutput_8" connectionId="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SolutionOutput_24" connectionId="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SolutionOutput_16" connectionId="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SolutionOutput_14" connectionId="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SolutionOutput_6" connectionId="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SolutionOutput_19" connectionId="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SolutionOutput_30" connectionId="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SolutionOutput" connectionId="5" autoFormatId="16" applyNumberFormats="0" applyBorderFormats="0" applyFontFormats="0" applyPatternFormats="0" applyAlignmentFormats="0" applyWidthHeightFormats="0"/>
</file>

<file path=xl/queryTables/queryTable73.xml><?xml version="1.0" encoding="utf-8"?>
<queryTable xmlns="http://schemas.openxmlformats.org/spreadsheetml/2006/main" name="SolutionOutput_2" connectionId="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SolutionOutput_11" connectionId="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SolutionOutput_17" connectionId="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SolutionOutput_23" connectionId="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SolutionOutput_29" connectionId="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SolutionOutput_13" connectionId="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SolutionOutput_28" connectionId="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SolutionOutput_7" connectionId="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SolutionOutput_31" connectionId="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StudentOutput_36" connectionId="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StudentOutput_15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StudentOutput_9" connectionId="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StudentOutput_21" connectionId="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StudentOutput_4" connectionId="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StudentOutput_1" connectionId="1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StudentOutput_25" connectionId="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StudentOutput_16" connectionId="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StudentOutput_7" connectionId="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StudentOutput_10" connectionId="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StudentOutput_19" connectionId="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StudentOutput_28" connectionId="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StudentOutput_14" connectionId="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StudentOutput_27" connectionId="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StudentOutput_33" connectionId="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StudentOutput_34" connectionId="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StudentOutput" connectionId="9" autoFormatId="16" applyNumberFormats="0" applyBorderFormats="0" applyFontFormats="0" applyPatternFormats="0" applyAlignmentFormats="0" applyWidthHeightFormats="0"/>
</file>

<file path=xl/queryTables/queryTable99.xml><?xml version="1.0" encoding="utf-8"?>
<queryTable xmlns="http://schemas.openxmlformats.org/spreadsheetml/2006/main" name="StudentOutput_2" connectionId="1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StudentOutput_12" connectionId="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StudentOutput_17" connectionId="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StudentOutput_24" connectionId="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StudentOutput_29" connectionId="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StudentOutput_31" connectionId="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StudentOutput_23" connectionId="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StudentOutput_20" connectionId="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StudentOutput_30" connectionId="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StudentOutput_13" connectionId="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StudentOutput_35" connectionId="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StudentOutput_6" connectionId="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StudentOutput_3" connectionId="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StudentOutput_11" connectionId="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StudentOutput_32" connectionId="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StudentOutput_22" connectionId="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StudentOutput_18" connectionId="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StudentOutput_5" connectionId="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StudentOutput_8" connectionId="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StudentOutput_26" connectionId="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AdvisorScheduleOutput_34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AdvisorScheduleOutput_7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AdvisorScheduleOutput_2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AdvisorScheduleOutput_9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AdvisorScheduleOutput_27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AdvisorScheduleOutput_22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AdvisorScheduleOutput_2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AdvisorScheduleOutput_4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AdvisorScheduleOutput_1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AdvisorScheduleOutput_16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AdvisorScheduleOutput_23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AdvisorScheduleOutput_21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AdvisorScheduleOutput_28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AdvisorScheduleOutput_15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AdvisorScheduleOutput_25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AdvisorScheduleOutput_19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AdvisorScheduleOutput_32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AdvisorScheduleOutput_13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AdvisorScheduleOutput_11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AdvisorScheduleOutput_3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AdvisorScheduleOutput_26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AdvisorScheduleOutput_29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AdvisorScheduleOutput_14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AdvisorScheduleOutput_5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AdvisorScheduleOutput_8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AdvisorScheduleOutput_12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AdvisorScheduleOutput_31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AdvisorScheduleOutput_6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AdvisorScheduleOutput_17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AdvisorScheduleOutput_30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AdvisorScheduleOutput_33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AdvisorScheduleOutput_24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AdvisorScheduleOutput_1" connectionId="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AdvisorScheduleOutput_18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AdvisorScheduleOutput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26" Type="http://schemas.openxmlformats.org/officeDocument/2006/relationships/queryTable" Target="../queryTables/queryTable20.xml"/><Relationship Id="rId39" Type="http://schemas.openxmlformats.org/officeDocument/2006/relationships/queryTable" Target="../queryTables/queryTable33.xml"/><Relationship Id="rId21" Type="http://schemas.openxmlformats.org/officeDocument/2006/relationships/queryTable" Target="../queryTables/queryTable15.xml"/><Relationship Id="rId34" Type="http://schemas.openxmlformats.org/officeDocument/2006/relationships/queryTable" Target="../queryTables/queryTable28.xml"/><Relationship Id="rId42" Type="http://schemas.openxmlformats.org/officeDocument/2006/relationships/queryTable" Target="../queryTables/queryTable36.xml"/><Relationship Id="rId47" Type="http://schemas.openxmlformats.org/officeDocument/2006/relationships/queryTable" Target="../queryTables/queryTable41.xml"/><Relationship Id="rId50" Type="http://schemas.openxmlformats.org/officeDocument/2006/relationships/queryTable" Target="../queryTables/queryTable44.xml"/><Relationship Id="rId55" Type="http://schemas.openxmlformats.org/officeDocument/2006/relationships/queryTable" Target="../queryTables/queryTable49.xml"/><Relationship Id="rId7" Type="http://schemas.openxmlformats.org/officeDocument/2006/relationships/queryTable" Target="../queryTables/queryTable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queryTable" Target="../queryTables/queryTable19.xml"/><Relationship Id="rId33" Type="http://schemas.openxmlformats.org/officeDocument/2006/relationships/queryTable" Target="../queryTables/queryTable27.xml"/><Relationship Id="rId38" Type="http://schemas.openxmlformats.org/officeDocument/2006/relationships/queryTable" Target="../queryTables/queryTable32.xml"/><Relationship Id="rId46" Type="http://schemas.openxmlformats.org/officeDocument/2006/relationships/queryTable" Target="../queryTables/queryTable40.xml"/><Relationship Id="rId2" Type="http://schemas.openxmlformats.org/officeDocument/2006/relationships/drawing" Target="../drawings/drawing4.xml"/><Relationship Id="rId16" Type="http://schemas.openxmlformats.org/officeDocument/2006/relationships/queryTable" Target="../queryTables/queryTable10.xml"/><Relationship Id="rId20" Type="http://schemas.openxmlformats.org/officeDocument/2006/relationships/queryTable" Target="../queryTables/queryTable14.xml"/><Relationship Id="rId29" Type="http://schemas.openxmlformats.org/officeDocument/2006/relationships/queryTable" Target="../queryTables/queryTable23.xml"/><Relationship Id="rId41" Type="http://schemas.openxmlformats.org/officeDocument/2006/relationships/queryTable" Target="../queryTables/queryTable35.xml"/><Relationship Id="rId54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32" Type="http://schemas.openxmlformats.org/officeDocument/2006/relationships/queryTable" Target="../queryTables/queryTable26.xml"/><Relationship Id="rId37" Type="http://schemas.openxmlformats.org/officeDocument/2006/relationships/queryTable" Target="../queryTables/queryTable31.xml"/><Relationship Id="rId40" Type="http://schemas.openxmlformats.org/officeDocument/2006/relationships/queryTable" Target="../queryTables/queryTable34.xml"/><Relationship Id="rId45" Type="http://schemas.openxmlformats.org/officeDocument/2006/relationships/queryTable" Target="../queryTables/queryTable39.xml"/><Relationship Id="rId53" Type="http://schemas.openxmlformats.org/officeDocument/2006/relationships/queryTable" Target="../queryTables/queryTable47.xml"/><Relationship Id="rId5" Type="http://schemas.openxmlformats.org/officeDocument/2006/relationships/ctrlProp" Target="../ctrlProps/ctrlProp2.x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28" Type="http://schemas.openxmlformats.org/officeDocument/2006/relationships/queryTable" Target="../queryTables/queryTable22.xml"/><Relationship Id="rId36" Type="http://schemas.openxmlformats.org/officeDocument/2006/relationships/queryTable" Target="../queryTables/queryTable30.xml"/><Relationship Id="rId49" Type="http://schemas.openxmlformats.org/officeDocument/2006/relationships/queryTable" Target="../queryTables/queryTable43.xml"/><Relationship Id="rId10" Type="http://schemas.openxmlformats.org/officeDocument/2006/relationships/queryTable" Target="../queryTables/queryTable4.xml"/><Relationship Id="rId19" Type="http://schemas.openxmlformats.org/officeDocument/2006/relationships/queryTable" Target="../queryTables/queryTable13.xml"/><Relationship Id="rId31" Type="http://schemas.openxmlformats.org/officeDocument/2006/relationships/queryTable" Target="../queryTables/queryTable25.xml"/><Relationship Id="rId44" Type="http://schemas.openxmlformats.org/officeDocument/2006/relationships/queryTable" Target="../queryTables/queryTable38.xml"/><Relationship Id="rId52" Type="http://schemas.openxmlformats.org/officeDocument/2006/relationships/queryTable" Target="../queryTables/queryTable4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43" Type="http://schemas.openxmlformats.org/officeDocument/2006/relationships/queryTable" Target="../queryTables/queryTable37.xml"/><Relationship Id="rId48" Type="http://schemas.openxmlformats.org/officeDocument/2006/relationships/queryTable" Target="../queryTables/queryTable42.xml"/><Relationship Id="rId56" Type="http://schemas.openxmlformats.org/officeDocument/2006/relationships/comments" Target="../comments3.xml"/><Relationship Id="rId8" Type="http://schemas.openxmlformats.org/officeDocument/2006/relationships/queryTable" Target="../queryTables/queryTable2.xml"/><Relationship Id="rId51" Type="http://schemas.openxmlformats.org/officeDocument/2006/relationships/queryTable" Target="../queryTables/queryTable45.xml"/><Relationship Id="rId3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7.xml"/><Relationship Id="rId13" Type="http://schemas.openxmlformats.org/officeDocument/2006/relationships/queryTable" Target="../queryTables/queryTable62.xml"/><Relationship Id="rId18" Type="http://schemas.openxmlformats.org/officeDocument/2006/relationships/queryTable" Target="../queryTables/queryTable67.xml"/><Relationship Id="rId26" Type="http://schemas.openxmlformats.org/officeDocument/2006/relationships/queryTable" Target="../queryTables/queryTable75.xml"/><Relationship Id="rId3" Type="http://schemas.openxmlformats.org/officeDocument/2006/relationships/queryTable" Target="../queryTables/queryTable52.xml"/><Relationship Id="rId21" Type="http://schemas.openxmlformats.org/officeDocument/2006/relationships/queryTable" Target="../queryTables/queryTable70.xml"/><Relationship Id="rId7" Type="http://schemas.openxmlformats.org/officeDocument/2006/relationships/queryTable" Target="../queryTables/queryTable56.xml"/><Relationship Id="rId12" Type="http://schemas.openxmlformats.org/officeDocument/2006/relationships/queryTable" Target="../queryTables/queryTable61.xml"/><Relationship Id="rId17" Type="http://schemas.openxmlformats.org/officeDocument/2006/relationships/queryTable" Target="../queryTables/queryTable66.xml"/><Relationship Id="rId25" Type="http://schemas.openxmlformats.org/officeDocument/2006/relationships/queryTable" Target="../queryTables/queryTable74.xml"/><Relationship Id="rId2" Type="http://schemas.openxmlformats.org/officeDocument/2006/relationships/queryTable" Target="../queryTables/queryTable51.xml"/><Relationship Id="rId16" Type="http://schemas.openxmlformats.org/officeDocument/2006/relationships/queryTable" Target="../queryTables/queryTable65.xml"/><Relationship Id="rId20" Type="http://schemas.openxmlformats.org/officeDocument/2006/relationships/queryTable" Target="../queryTables/queryTable69.xml"/><Relationship Id="rId29" Type="http://schemas.openxmlformats.org/officeDocument/2006/relationships/queryTable" Target="../queryTables/queryTable78.xml"/><Relationship Id="rId1" Type="http://schemas.openxmlformats.org/officeDocument/2006/relationships/queryTable" Target="../queryTables/queryTable50.xml"/><Relationship Id="rId6" Type="http://schemas.openxmlformats.org/officeDocument/2006/relationships/queryTable" Target="../queryTables/queryTable55.xml"/><Relationship Id="rId11" Type="http://schemas.openxmlformats.org/officeDocument/2006/relationships/queryTable" Target="../queryTables/queryTable60.xml"/><Relationship Id="rId24" Type="http://schemas.openxmlformats.org/officeDocument/2006/relationships/queryTable" Target="../queryTables/queryTable73.xml"/><Relationship Id="rId32" Type="http://schemas.openxmlformats.org/officeDocument/2006/relationships/queryTable" Target="../queryTables/queryTable81.xml"/><Relationship Id="rId5" Type="http://schemas.openxmlformats.org/officeDocument/2006/relationships/queryTable" Target="../queryTables/queryTable54.xml"/><Relationship Id="rId15" Type="http://schemas.openxmlformats.org/officeDocument/2006/relationships/queryTable" Target="../queryTables/queryTable64.xml"/><Relationship Id="rId23" Type="http://schemas.openxmlformats.org/officeDocument/2006/relationships/queryTable" Target="../queryTables/queryTable72.xml"/><Relationship Id="rId28" Type="http://schemas.openxmlformats.org/officeDocument/2006/relationships/queryTable" Target="../queryTables/queryTable77.xml"/><Relationship Id="rId10" Type="http://schemas.openxmlformats.org/officeDocument/2006/relationships/queryTable" Target="../queryTables/queryTable59.xml"/><Relationship Id="rId19" Type="http://schemas.openxmlformats.org/officeDocument/2006/relationships/queryTable" Target="../queryTables/queryTable68.xml"/><Relationship Id="rId31" Type="http://schemas.openxmlformats.org/officeDocument/2006/relationships/queryTable" Target="../queryTables/queryTable80.xml"/><Relationship Id="rId4" Type="http://schemas.openxmlformats.org/officeDocument/2006/relationships/queryTable" Target="../queryTables/queryTable53.xml"/><Relationship Id="rId9" Type="http://schemas.openxmlformats.org/officeDocument/2006/relationships/queryTable" Target="../queryTables/queryTable58.xml"/><Relationship Id="rId14" Type="http://schemas.openxmlformats.org/officeDocument/2006/relationships/queryTable" Target="../queryTables/queryTable63.xml"/><Relationship Id="rId22" Type="http://schemas.openxmlformats.org/officeDocument/2006/relationships/queryTable" Target="../queryTables/queryTable71.xml"/><Relationship Id="rId27" Type="http://schemas.openxmlformats.org/officeDocument/2006/relationships/queryTable" Target="../queryTables/queryTable76.xml"/><Relationship Id="rId30" Type="http://schemas.openxmlformats.org/officeDocument/2006/relationships/queryTable" Target="../queryTables/queryTable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8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26" Type="http://schemas.openxmlformats.org/officeDocument/2006/relationships/queryTable" Target="../queryTables/queryTable106.xml"/><Relationship Id="rId3" Type="http://schemas.openxmlformats.org/officeDocument/2006/relationships/queryTable" Target="../queryTables/queryTable83.xml"/><Relationship Id="rId21" Type="http://schemas.openxmlformats.org/officeDocument/2006/relationships/queryTable" Target="../queryTables/queryTable101.xml"/><Relationship Id="rId34" Type="http://schemas.openxmlformats.org/officeDocument/2006/relationships/queryTable" Target="../queryTables/queryTable114.xml"/><Relationship Id="rId7" Type="http://schemas.openxmlformats.org/officeDocument/2006/relationships/queryTable" Target="../queryTables/queryTable87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2" Type="http://schemas.openxmlformats.org/officeDocument/2006/relationships/queryTable" Target="../queryTables/queryTable82.xml"/><Relationship Id="rId16" Type="http://schemas.openxmlformats.org/officeDocument/2006/relationships/queryTable" Target="../queryTables/queryTable96.xml"/><Relationship Id="rId20" Type="http://schemas.openxmlformats.org/officeDocument/2006/relationships/queryTable" Target="../queryTables/queryTable100.xml"/><Relationship Id="rId29" Type="http://schemas.openxmlformats.org/officeDocument/2006/relationships/queryTable" Target="../queryTables/queryTable109.xml"/><Relationship Id="rId1" Type="http://schemas.openxmlformats.org/officeDocument/2006/relationships/drawing" Target="../drawings/drawing6.xml"/><Relationship Id="rId6" Type="http://schemas.openxmlformats.org/officeDocument/2006/relationships/queryTable" Target="../queryTables/queryTable86.xml"/><Relationship Id="rId11" Type="http://schemas.openxmlformats.org/officeDocument/2006/relationships/queryTable" Target="../queryTables/queryTable91.xml"/><Relationship Id="rId24" Type="http://schemas.openxmlformats.org/officeDocument/2006/relationships/queryTable" Target="../queryTables/queryTable104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" Type="http://schemas.openxmlformats.org/officeDocument/2006/relationships/queryTable" Target="../queryTables/queryTable85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10" Type="http://schemas.openxmlformats.org/officeDocument/2006/relationships/queryTable" Target="../queryTables/queryTable90.xml"/><Relationship Id="rId19" Type="http://schemas.openxmlformats.org/officeDocument/2006/relationships/queryTable" Target="../queryTables/queryTable99.xml"/><Relationship Id="rId31" Type="http://schemas.openxmlformats.org/officeDocument/2006/relationships/queryTable" Target="../queryTables/queryTable11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5.xml"/><Relationship Id="rId13" Type="http://schemas.openxmlformats.org/officeDocument/2006/relationships/queryTable" Target="../queryTables/queryTable130.xml"/><Relationship Id="rId18" Type="http://schemas.openxmlformats.org/officeDocument/2006/relationships/queryTable" Target="../queryTables/queryTable135.xml"/><Relationship Id="rId26" Type="http://schemas.openxmlformats.org/officeDocument/2006/relationships/queryTable" Target="../queryTables/queryTable143.xml"/><Relationship Id="rId3" Type="http://schemas.openxmlformats.org/officeDocument/2006/relationships/queryTable" Target="../queryTables/queryTable120.xml"/><Relationship Id="rId21" Type="http://schemas.openxmlformats.org/officeDocument/2006/relationships/queryTable" Target="../queryTables/queryTable138.xml"/><Relationship Id="rId34" Type="http://schemas.openxmlformats.org/officeDocument/2006/relationships/queryTable" Target="../queryTables/queryTable151.xml"/><Relationship Id="rId7" Type="http://schemas.openxmlformats.org/officeDocument/2006/relationships/queryTable" Target="../queryTables/queryTable124.xml"/><Relationship Id="rId12" Type="http://schemas.openxmlformats.org/officeDocument/2006/relationships/queryTable" Target="../queryTables/queryTable129.xml"/><Relationship Id="rId17" Type="http://schemas.openxmlformats.org/officeDocument/2006/relationships/queryTable" Target="../queryTables/queryTable134.xml"/><Relationship Id="rId25" Type="http://schemas.openxmlformats.org/officeDocument/2006/relationships/queryTable" Target="../queryTables/queryTable142.xml"/><Relationship Id="rId33" Type="http://schemas.openxmlformats.org/officeDocument/2006/relationships/queryTable" Target="../queryTables/queryTable150.xml"/><Relationship Id="rId2" Type="http://schemas.openxmlformats.org/officeDocument/2006/relationships/queryTable" Target="../queryTables/queryTable119.xml"/><Relationship Id="rId16" Type="http://schemas.openxmlformats.org/officeDocument/2006/relationships/queryTable" Target="../queryTables/queryTable133.xml"/><Relationship Id="rId20" Type="http://schemas.openxmlformats.org/officeDocument/2006/relationships/queryTable" Target="../queryTables/queryTable137.xml"/><Relationship Id="rId29" Type="http://schemas.openxmlformats.org/officeDocument/2006/relationships/queryTable" Target="../queryTables/queryTable146.xml"/><Relationship Id="rId1" Type="http://schemas.openxmlformats.org/officeDocument/2006/relationships/drawing" Target="../drawings/drawing7.xml"/><Relationship Id="rId6" Type="http://schemas.openxmlformats.org/officeDocument/2006/relationships/queryTable" Target="../queryTables/queryTable123.xml"/><Relationship Id="rId11" Type="http://schemas.openxmlformats.org/officeDocument/2006/relationships/queryTable" Target="../queryTables/queryTable128.xml"/><Relationship Id="rId24" Type="http://schemas.openxmlformats.org/officeDocument/2006/relationships/queryTable" Target="../queryTables/queryTable141.xml"/><Relationship Id="rId32" Type="http://schemas.openxmlformats.org/officeDocument/2006/relationships/queryTable" Target="../queryTables/queryTable149.xml"/><Relationship Id="rId5" Type="http://schemas.openxmlformats.org/officeDocument/2006/relationships/queryTable" Target="../queryTables/queryTable122.xml"/><Relationship Id="rId15" Type="http://schemas.openxmlformats.org/officeDocument/2006/relationships/queryTable" Target="../queryTables/queryTable132.xml"/><Relationship Id="rId23" Type="http://schemas.openxmlformats.org/officeDocument/2006/relationships/queryTable" Target="../queryTables/queryTable140.xml"/><Relationship Id="rId28" Type="http://schemas.openxmlformats.org/officeDocument/2006/relationships/queryTable" Target="../queryTables/queryTable145.xml"/><Relationship Id="rId36" Type="http://schemas.openxmlformats.org/officeDocument/2006/relationships/queryTable" Target="../queryTables/queryTable153.xml"/><Relationship Id="rId10" Type="http://schemas.openxmlformats.org/officeDocument/2006/relationships/queryTable" Target="../queryTables/queryTable127.xml"/><Relationship Id="rId19" Type="http://schemas.openxmlformats.org/officeDocument/2006/relationships/queryTable" Target="../queryTables/queryTable136.xml"/><Relationship Id="rId31" Type="http://schemas.openxmlformats.org/officeDocument/2006/relationships/queryTable" Target="../queryTables/queryTable148.xml"/><Relationship Id="rId4" Type="http://schemas.openxmlformats.org/officeDocument/2006/relationships/queryTable" Target="../queryTables/queryTable121.xml"/><Relationship Id="rId9" Type="http://schemas.openxmlformats.org/officeDocument/2006/relationships/queryTable" Target="../queryTables/queryTable126.xml"/><Relationship Id="rId14" Type="http://schemas.openxmlformats.org/officeDocument/2006/relationships/queryTable" Target="../queryTables/queryTable131.xml"/><Relationship Id="rId22" Type="http://schemas.openxmlformats.org/officeDocument/2006/relationships/queryTable" Target="../queryTables/queryTable139.xml"/><Relationship Id="rId27" Type="http://schemas.openxmlformats.org/officeDocument/2006/relationships/queryTable" Target="../queryTables/queryTable144.xml"/><Relationship Id="rId30" Type="http://schemas.openxmlformats.org/officeDocument/2006/relationships/queryTable" Target="../queryTables/queryTable147.xml"/><Relationship Id="rId35" Type="http://schemas.openxmlformats.org/officeDocument/2006/relationships/queryTable" Target="../queryTables/queryTable15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7" Type="http://schemas.openxmlformats.org/officeDocument/2006/relationships/comments" Target="../comments6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vmlDrawing" Target="../drawings/vmlDrawing6.vm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852"/>
  <sheetViews>
    <sheetView showGridLines="0" tabSelected="1" topLeftCell="A5" workbookViewId="0">
      <selection activeCell="K5" sqref="K5"/>
    </sheetView>
  </sheetViews>
  <sheetFormatPr defaultRowHeight="14.5" x14ac:dyDescent="0.35"/>
  <cols>
    <col min="2" max="2" width="4.81640625" bestFit="1" customWidth="1"/>
    <col min="3" max="3" width="17" bestFit="1" customWidth="1"/>
    <col min="4" max="4" width="7" customWidth="1"/>
    <col min="5" max="5" width="2.90625" bestFit="1" customWidth="1"/>
    <col min="6" max="6" width="4.6328125" customWidth="1"/>
    <col min="7" max="7" width="2.90625" customWidth="1"/>
    <col min="8" max="8" width="6.90625" bestFit="1" customWidth="1"/>
    <col min="9" max="9" width="2.81640625" bestFit="1" customWidth="1"/>
    <col min="10" max="10" width="3.90625" bestFit="1" customWidth="1"/>
    <col min="11" max="11" width="6" bestFit="1" customWidth="1"/>
    <col min="12" max="12" width="2.90625" bestFit="1" customWidth="1"/>
    <col min="13" max="13" width="4.1796875" bestFit="1" customWidth="1"/>
    <col min="14" max="14" width="3.54296875" bestFit="1" customWidth="1"/>
    <col min="15" max="15" width="4.453125" bestFit="1" customWidth="1"/>
    <col min="16" max="16" width="3.26953125" bestFit="1" customWidth="1"/>
    <col min="17" max="17" width="9.6328125" bestFit="1" customWidth="1"/>
    <col min="18" max="18" width="3.6328125" bestFit="1" customWidth="1"/>
    <col min="19" max="19" width="9.7265625" bestFit="1" customWidth="1"/>
  </cols>
  <sheetData>
    <row r="1" spans="2:19" s="36" customFormat="1" x14ac:dyDescent="0.35"/>
    <row r="2" spans="2:19" s="36" customFormat="1" x14ac:dyDescent="0.35"/>
    <row r="3" spans="2:19" s="36" customFormat="1" x14ac:dyDescent="0.35"/>
    <row r="4" spans="2:19" s="36" customFormat="1" x14ac:dyDescent="0.35"/>
    <row r="7" spans="2:19" x14ac:dyDescent="0.35">
      <c r="B7" s="41" t="s">
        <v>16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</row>
    <row r="8" spans="2:19" x14ac:dyDescent="0.35">
      <c r="B8" s="2" t="s">
        <v>118</v>
      </c>
      <c r="C8" s="2" t="s">
        <v>1</v>
      </c>
      <c r="D8" s="2" t="s">
        <v>0</v>
      </c>
      <c r="E8" s="2" t="s">
        <v>10</v>
      </c>
      <c r="F8" s="2" t="s">
        <v>119</v>
      </c>
      <c r="G8" s="2" t="s">
        <v>12</v>
      </c>
      <c r="H8" s="2" t="s">
        <v>8</v>
      </c>
      <c r="I8" s="2" t="s">
        <v>5</v>
      </c>
      <c r="J8" s="2" t="s">
        <v>7</v>
      </c>
      <c r="K8" s="2" t="s">
        <v>9</v>
      </c>
      <c r="L8" s="2" t="s">
        <v>2</v>
      </c>
      <c r="M8" s="2" t="s">
        <v>6</v>
      </c>
      <c r="N8" s="2" t="s">
        <v>3</v>
      </c>
      <c r="O8" s="2" t="s">
        <v>4</v>
      </c>
      <c r="P8" s="2" t="s">
        <v>11</v>
      </c>
      <c r="Q8" s="2" t="s">
        <v>14</v>
      </c>
      <c r="R8" s="2" t="s">
        <v>15</v>
      </c>
      <c r="S8" s="2" t="s">
        <v>13</v>
      </c>
    </row>
    <row r="9" spans="2:19" x14ac:dyDescent="0.35">
      <c r="B9" s="1">
        <v>3059</v>
      </c>
      <c r="C9" s="1" t="s">
        <v>21</v>
      </c>
      <c r="D9" s="1" t="s">
        <v>18</v>
      </c>
      <c r="E9" s="1">
        <v>0</v>
      </c>
      <c r="F9" s="28">
        <v>0</v>
      </c>
      <c r="G9" s="28">
        <v>0</v>
      </c>
      <c r="H9" s="1">
        <v>0</v>
      </c>
      <c r="I9" s="1">
        <v>1</v>
      </c>
      <c r="J9" s="1">
        <v>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1</v>
      </c>
      <c r="Q9" s="1">
        <v>0</v>
      </c>
      <c r="R9" s="1">
        <v>0</v>
      </c>
      <c r="S9" s="1">
        <v>0</v>
      </c>
    </row>
    <row r="10" spans="2:19" x14ac:dyDescent="0.35">
      <c r="B10" s="1">
        <v>3060</v>
      </c>
      <c r="C10" s="1" t="s">
        <v>17</v>
      </c>
      <c r="D10" s="1" t="s">
        <v>20</v>
      </c>
      <c r="E10" s="1">
        <v>0</v>
      </c>
      <c r="F10" s="28">
        <v>0</v>
      </c>
      <c r="G10" s="28">
        <v>0</v>
      </c>
      <c r="H10" s="1">
        <v>0</v>
      </c>
      <c r="I10" s="1">
        <v>3</v>
      </c>
      <c r="J10" s="1">
        <v>6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2:19" x14ac:dyDescent="0.35">
      <c r="B11" s="1">
        <v>3061</v>
      </c>
      <c r="C11" s="1" t="s">
        <v>17</v>
      </c>
      <c r="D11" s="1" t="s">
        <v>18</v>
      </c>
      <c r="E11" s="1">
        <v>0</v>
      </c>
      <c r="F11" s="28">
        <v>0</v>
      </c>
      <c r="G11" s="28">
        <v>0</v>
      </c>
      <c r="H11" s="1">
        <v>0</v>
      </c>
      <c r="I11" s="1">
        <v>1</v>
      </c>
      <c r="J11" s="1">
        <v>8</v>
      </c>
      <c r="K11" s="1">
        <v>0</v>
      </c>
      <c r="L11" s="1">
        <v>1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</row>
    <row r="12" spans="2:19" x14ac:dyDescent="0.35">
      <c r="B12" s="1">
        <v>3062</v>
      </c>
      <c r="C12" s="1" t="s">
        <v>19</v>
      </c>
      <c r="D12" s="1" t="s">
        <v>20</v>
      </c>
      <c r="E12" s="1">
        <v>0</v>
      </c>
      <c r="F12" s="28">
        <v>0</v>
      </c>
      <c r="G12" s="28">
        <v>0</v>
      </c>
      <c r="H12" s="1">
        <v>0</v>
      </c>
      <c r="I12" s="1">
        <v>2</v>
      </c>
      <c r="J12" s="1">
        <v>6</v>
      </c>
      <c r="K12" s="1">
        <v>0</v>
      </c>
      <c r="L12" s="1">
        <v>0</v>
      </c>
      <c r="M12" s="1">
        <v>0</v>
      </c>
      <c r="N12" s="1">
        <v>2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</row>
    <row r="13" spans="2:19" x14ac:dyDescent="0.35">
      <c r="B13" s="1">
        <v>3063</v>
      </c>
      <c r="C13" s="1" t="s">
        <v>19</v>
      </c>
      <c r="D13" s="1" t="s">
        <v>18</v>
      </c>
      <c r="E13" s="1">
        <v>0</v>
      </c>
      <c r="F13" s="28">
        <v>0</v>
      </c>
      <c r="G13" s="28">
        <v>0</v>
      </c>
      <c r="H13" s="1">
        <v>2</v>
      </c>
      <c r="I13" s="1">
        <v>3</v>
      </c>
      <c r="J13" s="1">
        <v>5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</row>
    <row r="14" spans="2:19" x14ac:dyDescent="0.35">
      <c r="B14" s="1">
        <v>3064</v>
      </c>
      <c r="C14" s="1" t="s">
        <v>17</v>
      </c>
      <c r="D14" s="1" t="s">
        <v>18</v>
      </c>
      <c r="E14" s="1">
        <v>0</v>
      </c>
      <c r="F14" s="28">
        <v>0</v>
      </c>
      <c r="G14" s="28">
        <v>0</v>
      </c>
      <c r="H14" s="1">
        <v>0</v>
      </c>
      <c r="I14" s="1">
        <v>3</v>
      </c>
      <c r="J14" s="1">
        <v>5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</row>
    <row r="15" spans="2:19" x14ac:dyDescent="0.35">
      <c r="B15" s="1">
        <v>3065</v>
      </c>
      <c r="C15" s="1" t="s">
        <v>22</v>
      </c>
      <c r="D15" s="1" t="s">
        <v>18</v>
      </c>
      <c r="E15" s="1">
        <v>0</v>
      </c>
      <c r="F15" s="28">
        <v>0</v>
      </c>
      <c r="G15" s="28">
        <v>0</v>
      </c>
      <c r="H15" s="1">
        <v>0</v>
      </c>
      <c r="I15" s="1">
        <v>4</v>
      </c>
      <c r="J15" s="1">
        <v>5</v>
      </c>
      <c r="K15" s="1">
        <v>0</v>
      </c>
      <c r="L15" s="1">
        <v>1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</row>
    <row r="16" spans="2:19" x14ac:dyDescent="0.35">
      <c r="B16" s="1">
        <v>3066</v>
      </c>
      <c r="C16" s="1" t="s">
        <v>26</v>
      </c>
      <c r="D16" s="1" t="s">
        <v>18</v>
      </c>
      <c r="E16" s="1">
        <v>0</v>
      </c>
      <c r="F16" s="28">
        <v>0</v>
      </c>
      <c r="G16" s="28">
        <v>0</v>
      </c>
      <c r="H16" s="1">
        <v>0</v>
      </c>
      <c r="I16" s="1">
        <v>5</v>
      </c>
      <c r="J16" s="1">
        <v>4</v>
      </c>
      <c r="K16" s="1">
        <v>0</v>
      </c>
      <c r="L16" s="1">
        <v>0</v>
      </c>
      <c r="M16" s="1">
        <v>1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</row>
    <row r="17" spans="2:19" x14ac:dyDescent="0.35">
      <c r="B17" s="1">
        <v>3067</v>
      </c>
      <c r="C17" s="1" t="s">
        <v>19</v>
      </c>
      <c r="D17" s="1" t="s">
        <v>18</v>
      </c>
      <c r="E17" s="1">
        <v>0</v>
      </c>
      <c r="F17" s="28">
        <v>0</v>
      </c>
      <c r="G17" s="28">
        <v>0</v>
      </c>
      <c r="H17" s="1">
        <v>0</v>
      </c>
      <c r="I17" s="1">
        <v>3</v>
      </c>
      <c r="J17" s="1">
        <v>6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1</v>
      </c>
      <c r="Q17" s="1">
        <v>0</v>
      </c>
      <c r="R17" s="1">
        <v>0</v>
      </c>
      <c r="S17" s="1">
        <v>0</v>
      </c>
    </row>
    <row r="18" spans="2:19" x14ac:dyDescent="0.35">
      <c r="B18" s="1">
        <v>3068</v>
      </c>
      <c r="C18" s="1" t="s">
        <v>19</v>
      </c>
      <c r="D18" s="1" t="s">
        <v>18</v>
      </c>
      <c r="E18" s="1">
        <v>0</v>
      </c>
      <c r="F18" s="28">
        <v>0</v>
      </c>
      <c r="G18" s="28">
        <v>0</v>
      </c>
      <c r="H18" s="1">
        <v>0</v>
      </c>
      <c r="I18" s="1">
        <v>4</v>
      </c>
      <c r="J18" s="1">
        <v>5</v>
      </c>
      <c r="K18" s="1">
        <v>0</v>
      </c>
      <c r="L18" s="1">
        <v>0</v>
      </c>
      <c r="M18" s="1">
        <v>1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</row>
    <row r="19" spans="2:19" x14ac:dyDescent="0.35">
      <c r="B19" s="1">
        <v>3069</v>
      </c>
      <c r="C19" s="1" t="s">
        <v>25</v>
      </c>
      <c r="D19" s="1" t="s">
        <v>18</v>
      </c>
      <c r="E19" s="1">
        <v>0</v>
      </c>
      <c r="F19" s="28">
        <v>0</v>
      </c>
      <c r="G19" s="28">
        <v>0</v>
      </c>
      <c r="H19" s="1">
        <v>0</v>
      </c>
      <c r="I19" s="1">
        <v>1</v>
      </c>
      <c r="J19" s="1">
        <v>8</v>
      </c>
      <c r="K19" s="1">
        <v>0</v>
      </c>
      <c r="L19" s="1">
        <v>0</v>
      </c>
      <c r="M19" s="1">
        <v>0</v>
      </c>
      <c r="N19" s="1">
        <v>1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</row>
    <row r="20" spans="2:19" x14ac:dyDescent="0.35">
      <c r="B20" s="1">
        <v>3070</v>
      </c>
      <c r="C20" s="1" t="s">
        <v>17</v>
      </c>
      <c r="D20" s="1" t="s">
        <v>20</v>
      </c>
      <c r="E20" s="1">
        <v>0</v>
      </c>
      <c r="F20" s="28">
        <v>0</v>
      </c>
      <c r="G20" s="28">
        <v>0</v>
      </c>
      <c r="H20" s="1">
        <v>0</v>
      </c>
      <c r="I20" s="1">
        <v>3</v>
      </c>
      <c r="J20" s="1">
        <v>5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</v>
      </c>
      <c r="R20" s="1">
        <v>0</v>
      </c>
      <c r="S20" s="1">
        <v>0</v>
      </c>
    </row>
    <row r="21" spans="2:19" x14ac:dyDescent="0.35">
      <c r="B21" s="1">
        <v>3071</v>
      </c>
      <c r="C21" s="1" t="s">
        <v>17</v>
      </c>
      <c r="D21" s="1" t="s">
        <v>20</v>
      </c>
      <c r="E21" s="1">
        <v>0</v>
      </c>
      <c r="F21" s="28">
        <v>0</v>
      </c>
      <c r="G21" s="28">
        <v>0</v>
      </c>
      <c r="H21" s="1">
        <v>0</v>
      </c>
      <c r="I21" s="1">
        <v>4</v>
      </c>
      <c r="J21" s="1">
        <v>5</v>
      </c>
      <c r="K21" s="1">
        <v>0</v>
      </c>
      <c r="L21" s="1">
        <v>0</v>
      </c>
      <c r="M21" s="1">
        <v>0</v>
      </c>
      <c r="N21" s="1">
        <v>1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</row>
    <row r="22" spans="2:19" x14ac:dyDescent="0.35">
      <c r="B22" s="1">
        <v>3072</v>
      </c>
      <c r="C22" s="1" t="s">
        <v>19</v>
      </c>
      <c r="D22" s="1" t="s">
        <v>20</v>
      </c>
      <c r="E22" s="1">
        <v>0</v>
      </c>
      <c r="F22" s="28">
        <v>0</v>
      </c>
      <c r="G22" s="28">
        <v>0</v>
      </c>
      <c r="H22" s="1">
        <v>0</v>
      </c>
      <c r="I22" s="1">
        <v>3</v>
      </c>
      <c r="J22" s="1">
        <v>5</v>
      </c>
      <c r="K22" s="1">
        <v>0</v>
      </c>
      <c r="L22" s="1">
        <v>0</v>
      </c>
      <c r="M22" s="1">
        <v>0</v>
      </c>
      <c r="N22" s="1">
        <v>2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</row>
    <row r="23" spans="2:19" x14ac:dyDescent="0.35">
      <c r="B23" s="1">
        <v>3073</v>
      </c>
      <c r="C23" s="1" t="s">
        <v>22</v>
      </c>
      <c r="D23" s="1" t="s">
        <v>18</v>
      </c>
      <c r="E23" s="1">
        <v>0</v>
      </c>
      <c r="F23" s="28">
        <v>0</v>
      </c>
      <c r="G23" s="28">
        <v>0</v>
      </c>
      <c r="H23" s="1">
        <v>0</v>
      </c>
      <c r="I23" s="1">
        <v>2</v>
      </c>
      <c r="J23" s="1">
        <v>7</v>
      </c>
      <c r="K23" s="1">
        <v>0</v>
      </c>
      <c r="L23" s="1">
        <v>1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</row>
    <row r="24" spans="2:19" x14ac:dyDescent="0.35">
      <c r="B24" s="1">
        <v>3074</v>
      </c>
      <c r="C24" s="1" t="s">
        <v>19</v>
      </c>
      <c r="D24" s="1" t="s">
        <v>18</v>
      </c>
      <c r="E24" s="1">
        <v>0</v>
      </c>
      <c r="F24" s="28">
        <v>0</v>
      </c>
      <c r="G24" s="28">
        <v>0</v>
      </c>
      <c r="H24" s="1">
        <v>0</v>
      </c>
      <c r="I24" s="1">
        <v>2</v>
      </c>
      <c r="J24" s="1">
        <v>7</v>
      </c>
      <c r="K24" s="1">
        <v>0</v>
      </c>
      <c r="L24" s="1">
        <v>0</v>
      </c>
      <c r="M24" s="1">
        <v>0</v>
      </c>
      <c r="N24" s="1">
        <v>1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</row>
    <row r="25" spans="2:19" x14ac:dyDescent="0.35">
      <c r="B25" s="1">
        <v>3075</v>
      </c>
      <c r="C25" s="1" t="s">
        <v>17</v>
      </c>
      <c r="D25" s="1" t="s">
        <v>18</v>
      </c>
      <c r="E25" s="1">
        <v>0</v>
      </c>
      <c r="F25" s="28">
        <v>0</v>
      </c>
      <c r="G25" s="28">
        <v>0</v>
      </c>
      <c r="H25" s="1">
        <v>0</v>
      </c>
      <c r="I25" s="1">
        <v>2</v>
      </c>
      <c r="J25" s="1">
        <v>7</v>
      </c>
      <c r="K25" s="1">
        <v>0</v>
      </c>
      <c r="L25" s="1">
        <v>0</v>
      </c>
      <c r="M25" s="1">
        <v>0</v>
      </c>
      <c r="N25" s="1">
        <v>1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</row>
    <row r="26" spans="2:19" x14ac:dyDescent="0.35">
      <c r="B26" s="1">
        <v>3076</v>
      </c>
      <c r="C26" s="1" t="s">
        <v>23</v>
      </c>
      <c r="D26" s="1" t="s">
        <v>18</v>
      </c>
      <c r="E26" s="1">
        <v>0</v>
      </c>
      <c r="F26" s="28">
        <v>0</v>
      </c>
      <c r="G26" s="28">
        <v>0</v>
      </c>
      <c r="H26" s="1">
        <v>0</v>
      </c>
      <c r="I26" s="1">
        <v>4</v>
      </c>
      <c r="J26" s="1">
        <v>5</v>
      </c>
      <c r="K26" s="1">
        <v>0</v>
      </c>
      <c r="L26" s="1">
        <v>0</v>
      </c>
      <c r="M26" s="1">
        <v>0</v>
      </c>
      <c r="N26" s="1">
        <v>1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</row>
    <row r="27" spans="2:19" x14ac:dyDescent="0.35">
      <c r="B27" s="1">
        <v>3077</v>
      </c>
      <c r="C27" s="1" t="s">
        <v>23</v>
      </c>
      <c r="D27" s="1" t="s">
        <v>20</v>
      </c>
      <c r="E27" s="1">
        <v>0</v>
      </c>
      <c r="F27" s="28">
        <v>0</v>
      </c>
      <c r="G27" s="28">
        <v>0</v>
      </c>
      <c r="H27" s="1">
        <v>0</v>
      </c>
      <c r="I27" s="1">
        <v>2</v>
      </c>
      <c r="J27" s="1">
        <v>8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</row>
    <row r="28" spans="2:19" x14ac:dyDescent="0.35">
      <c r="B28" s="1">
        <v>3078</v>
      </c>
      <c r="C28" s="1" t="s">
        <v>23</v>
      </c>
      <c r="D28" s="1" t="s">
        <v>18</v>
      </c>
      <c r="E28" s="1">
        <v>0</v>
      </c>
      <c r="F28" s="28">
        <v>0</v>
      </c>
      <c r="G28" s="28">
        <v>0</v>
      </c>
      <c r="H28" s="1">
        <v>0</v>
      </c>
      <c r="I28" s="1">
        <v>1</v>
      </c>
      <c r="J28" s="1">
        <v>8</v>
      </c>
      <c r="K28" s="1">
        <v>0</v>
      </c>
      <c r="L28" s="1">
        <v>0</v>
      </c>
      <c r="M28" s="1">
        <v>0</v>
      </c>
      <c r="N28" s="1">
        <v>1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</row>
    <row r="29" spans="2:19" x14ac:dyDescent="0.35">
      <c r="B29" s="1">
        <v>3079</v>
      </c>
      <c r="C29" s="1" t="s">
        <v>19</v>
      </c>
      <c r="D29" s="1" t="s">
        <v>18</v>
      </c>
      <c r="E29" s="1">
        <v>0</v>
      </c>
      <c r="F29" s="28">
        <v>0</v>
      </c>
      <c r="G29" s="28">
        <v>0</v>
      </c>
      <c r="H29" s="1">
        <v>0</v>
      </c>
      <c r="I29" s="1">
        <v>2</v>
      </c>
      <c r="J29" s="1">
        <v>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1</v>
      </c>
    </row>
    <row r="30" spans="2:19" x14ac:dyDescent="0.35">
      <c r="B30" s="1">
        <v>3080</v>
      </c>
      <c r="C30" s="1" t="s">
        <v>23</v>
      </c>
      <c r="D30" s="1" t="s">
        <v>18</v>
      </c>
      <c r="E30" s="1">
        <v>0</v>
      </c>
      <c r="F30" s="28">
        <v>0</v>
      </c>
      <c r="G30" s="28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10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</row>
    <row r="31" spans="2:19" x14ac:dyDescent="0.35">
      <c r="B31" s="1">
        <v>3081</v>
      </c>
      <c r="C31" s="1" t="s">
        <v>19</v>
      </c>
      <c r="D31" s="1" t="s">
        <v>20</v>
      </c>
      <c r="E31" s="1">
        <v>0</v>
      </c>
      <c r="F31" s="28">
        <v>0</v>
      </c>
      <c r="G31" s="28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10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</row>
    <row r="32" spans="2:19" x14ac:dyDescent="0.35">
      <c r="B32" s="1">
        <v>3082</v>
      </c>
      <c r="C32" s="1" t="s">
        <v>22</v>
      </c>
      <c r="D32" s="1" t="s">
        <v>18</v>
      </c>
      <c r="E32" s="1">
        <v>0</v>
      </c>
      <c r="F32" s="28">
        <v>0</v>
      </c>
      <c r="G32" s="28">
        <v>0</v>
      </c>
      <c r="H32" s="1">
        <v>0</v>
      </c>
      <c r="I32" s="1">
        <v>0</v>
      </c>
      <c r="J32" s="1">
        <v>1</v>
      </c>
      <c r="K32" s="1">
        <v>0</v>
      </c>
      <c r="L32" s="1">
        <v>0</v>
      </c>
      <c r="M32" s="1">
        <v>0</v>
      </c>
      <c r="N32" s="1">
        <v>8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</row>
    <row r="33" spans="2:19" x14ac:dyDescent="0.35">
      <c r="B33" s="1">
        <v>3083</v>
      </c>
      <c r="C33" s="1" t="s">
        <v>26</v>
      </c>
      <c r="D33" s="1" t="s">
        <v>18</v>
      </c>
      <c r="E33" s="1">
        <v>0</v>
      </c>
      <c r="F33" s="28">
        <v>0</v>
      </c>
      <c r="G33" s="28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7</v>
      </c>
      <c r="O33" s="1">
        <v>1</v>
      </c>
      <c r="P33" s="1">
        <v>0</v>
      </c>
      <c r="Q33" s="1">
        <v>0</v>
      </c>
      <c r="R33" s="1">
        <v>0</v>
      </c>
      <c r="S33" s="1">
        <v>2</v>
      </c>
    </row>
    <row r="34" spans="2:19" x14ac:dyDescent="0.35">
      <c r="B34" s="1">
        <v>3084</v>
      </c>
      <c r="C34" s="1" t="s">
        <v>19</v>
      </c>
      <c r="D34" s="1" t="s">
        <v>18</v>
      </c>
      <c r="E34" s="1">
        <v>0</v>
      </c>
      <c r="F34" s="28">
        <v>0</v>
      </c>
      <c r="G34" s="28">
        <v>0</v>
      </c>
      <c r="H34" s="1">
        <v>0</v>
      </c>
      <c r="I34" s="1">
        <v>0</v>
      </c>
      <c r="J34" s="1">
        <v>2</v>
      </c>
      <c r="K34" s="1">
        <v>0</v>
      </c>
      <c r="L34" s="1">
        <v>0</v>
      </c>
      <c r="M34" s="1">
        <v>0</v>
      </c>
      <c r="N34" s="1">
        <v>6</v>
      </c>
      <c r="O34" s="1">
        <v>0</v>
      </c>
      <c r="P34" s="1">
        <v>2</v>
      </c>
      <c r="Q34" s="1">
        <v>0</v>
      </c>
      <c r="R34" s="1">
        <v>0</v>
      </c>
      <c r="S34" s="1">
        <v>0</v>
      </c>
    </row>
    <row r="35" spans="2:19" x14ac:dyDescent="0.35">
      <c r="B35" s="1">
        <v>3085</v>
      </c>
      <c r="C35" s="1" t="s">
        <v>19</v>
      </c>
      <c r="D35" s="1" t="s">
        <v>18</v>
      </c>
      <c r="E35" s="1">
        <v>0</v>
      </c>
      <c r="F35" s="28">
        <v>0</v>
      </c>
      <c r="G35" s="28">
        <v>0</v>
      </c>
      <c r="H35" s="1">
        <v>0</v>
      </c>
      <c r="I35" s="1">
        <v>1</v>
      </c>
      <c r="J35" s="1">
        <v>2</v>
      </c>
      <c r="K35" s="1">
        <v>0</v>
      </c>
      <c r="L35" s="1">
        <v>0</v>
      </c>
      <c r="M35" s="1">
        <v>0</v>
      </c>
      <c r="N35" s="1">
        <v>7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</row>
    <row r="36" spans="2:19" x14ac:dyDescent="0.35">
      <c r="B36" s="1">
        <v>3086</v>
      </c>
      <c r="C36" s="1" t="s">
        <v>22</v>
      </c>
      <c r="D36" s="1" t="s">
        <v>18</v>
      </c>
      <c r="E36" s="1">
        <v>0</v>
      </c>
      <c r="F36" s="28">
        <v>0</v>
      </c>
      <c r="G36" s="28">
        <v>0</v>
      </c>
      <c r="H36" s="1">
        <v>1</v>
      </c>
      <c r="I36" s="1">
        <v>0</v>
      </c>
      <c r="J36" s="1">
        <v>3</v>
      </c>
      <c r="K36" s="1">
        <v>0</v>
      </c>
      <c r="L36" s="1">
        <v>0</v>
      </c>
      <c r="M36" s="1">
        <v>0</v>
      </c>
      <c r="N36" s="1">
        <v>6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</row>
    <row r="37" spans="2:19" x14ac:dyDescent="0.35">
      <c r="B37" s="1">
        <v>3087</v>
      </c>
      <c r="C37" s="1" t="s">
        <v>21</v>
      </c>
      <c r="D37" s="1" t="s">
        <v>20</v>
      </c>
      <c r="E37" s="1">
        <v>0</v>
      </c>
      <c r="F37" s="28">
        <v>0</v>
      </c>
      <c r="G37" s="28">
        <v>0</v>
      </c>
      <c r="H37" s="1">
        <v>0</v>
      </c>
      <c r="I37" s="1">
        <v>1</v>
      </c>
      <c r="J37" s="1">
        <v>0</v>
      </c>
      <c r="K37" s="1">
        <v>0</v>
      </c>
      <c r="L37" s="1">
        <v>0</v>
      </c>
      <c r="M37" s="1">
        <v>0</v>
      </c>
      <c r="N37" s="1">
        <v>7</v>
      </c>
      <c r="O37" s="1">
        <v>0</v>
      </c>
      <c r="P37" s="1">
        <v>0</v>
      </c>
      <c r="Q37" s="1">
        <v>0</v>
      </c>
      <c r="R37" s="1">
        <v>0</v>
      </c>
      <c r="S37" s="1">
        <v>2</v>
      </c>
    </row>
    <row r="38" spans="2:19" x14ac:dyDescent="0.35">
      <c r="B38" s="1">
        <v>3088</v>
      </c>
      <c r="C38" s="1" t="s">
        <v>19</v>
      </c>
      <c r="D38" s="1" t="s">
        <v>20</v>
      </c>
      <c r="E38" s="1">
        <v>0</v>
      </c>
      <c r="F38" s="28">
        <v>0</v>
      </c>
      <c r="G38" s="28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10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</row>
    <row r="39" spans="2:19" x14ac:dyDescent="0.35">
      <c r="B39" s="1">
        <v>3089</v>
      </c>
      <c r="C39" s="1" t="s">
        <v>22</v>
      </c>
      <c r="D39" s="1" t="s">
        <v>18</v>
      </c>
      <c r="E39" s="1">
        <v>0</v>
      </c>
      <c r="F39" s="28">
        <v>0</v>
      </c>
      <c r="G39" s="28">
        <v>0</v>
      </c>
      <c r="H39" s="1">
        <v>0</v>
      </c>
      <c r="I39" s="1">
        <v>0</v>
      </c>
      <c r="J39" s="1">
        <v>2</v>
      </c>
      <c r="K39" s="1">
        <v>0</v>
      </c>
      <c r="L39" s="1">
        <v>0</v>
      </c>
      <c r="M39" s="1">
        <v>0</v>
      </c>
      <c r="N39" s="1">
        <v>7</v>
      </c>
      <c r="O39" s="1">
        <v>0</v>
      </c>
      <c r="P39" s="1">
        <v>0</v>
      </c>
      <c r="Q39" s="1">
        <v>0</v>
      </c>
      <c r="R39" s="1">
        <v>0</v>
      </c>
      <c r="S39" s="1">
        <v>1</v>
      </c>
    </row>
    <row r="40" spans="2:19" x14ac:dyDescent="0.35">
      <c r="B40" s="1">
        <v>3090</v>
      </c>
      <c r="C40" s="1" t="s">
        <v>23</v>
      </c>
      <c r="D40" s="1" t="s">
        <v>18</v>
      </c>
      <c r="E40" s="1">
        <v>0</v>
      </c>
      <c r="F40" s="28">
        <v>0</v>
      </c>
      <c r="G40" s="28">
        <v>0</v>
      </c>
      <c r="H40" s="1">
        <v>0</v>
      </c>
      <c r="I40" s="1">
        <v>0</v>
      </c>
      <c r="J40" s="1">
        <v>1</v>
      </c>
      <c r="K40" s="1">
        <v>0</v>
      </c>
      <c r="L40" s="1">
        <v>0</v>
      </c>
      <c r="M40" s="1">
        <v>0</v>
      </c>
      <c r="N40" s="1">
        <v>8</v>
      </c>
      <c r="O40" s="1">
        <v>0</v>
      </c>
      <c r="P40" s="1">
        <v>0</v>
      </c>
      <c r="Q40" s="1">
        <v>0</v>
      </c>
      <c r="R40" s="1">
        <v>0</v>
      </c>
      <c r="S40" s="1">
        <v>1</v>
      </c>
    </row>
    <row r="41" spans="2:19" x14ac:dyDescent="0.35">
      <c r="B41" s="1">
        <v>3091</v>
      </c>
      <c r="C41" s="1" t="s">
        <v>23</v>
      </c>
      <c r="D41" s="1" t="s">
        <v>20</v>
      </c>
      <c r="E41" s="1">
        <v>0</v>
      </c>
      <c r="F41" s="28">
        <v>0</v>
      </c>
      <c r="G41" s="28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10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</row>
    <row r="42" spans="2:19" x14ac:dyDescent="0.35">
      <c r="B42" s="1">
        <v>3092</v>
      </c>
      <c r="C42" s="1" t="s">
        <v>22</v>
      </c>
      <c r="D42" s="1" t="s">
        <v>18</v>
      </c>
      <c r="E42" s="1">
        <v>0</v>
      </c>
      <c r="F42" s="28">
        <v>0</v>
      </c>
      <c r="G42" s="28">
        <v>0</v>
      </c>
      <c r="H42" s="1">
        <v>0</v>
      </c>
      <c r="I42" s="1">
        <v>0</v>
      </c>
      <c r="J42" s="1">
        <v>1</v>
      </c>
      <c r="K42" s="1">
        <v>0</v>
      </c>
      <c r="L42" s="1">
        <v>0</v>
      </c>
      <c r="M42" s="1">
        <v>0</v>
      </c>
      <c r="N42" s="1">
        <v>8</v>
      </c>
      <c r="O42" s="1">
        <v>1</v>
      </c>
      <c r="P42" s="1">
        <v>0</v>
      </c>
      <c r="Q42" s="1">
        <v>0</v>
      </c>
      <c r="R42" s="1">
        <v>0</v>
      </c>
      <c r="S42" s="1">
        <v>0</v>
      </c>
    </row>
    <row r="43" spans="2:19" x14ac:dyDescent="0.35">
      <c r="B43" s="1">
        <v>3093</v>
      </c>
      <c r="C43" s="1" t="s">
        <v>23</v>
      </c>
      <c r="D43" s="1" t="s">
        <v>20</v>
      </c>
      <c r="E43" s="1">
        <v>0</v>
      </c>
      <c r="F43" s="28">
        <v>0</v>
      </c>
      <c r="G43" s="28">
        <v>0</v>
      </c>
      <c r="H43" s="1">
        <v>0</v>
      </c>
      <c r="I43" s="1">
        <v>0</v>
      </c>
      <c r="J43" s="1">
        <v>1</v>
      </c>
      <c r="K43" s="1">
        <v>0</v>
      </c>
      <c r="L43" s="1">
        <v>1</v>
      </c>
      <c r="M43" s="1">
        <v>0</v>
      </c>
      <c r="N43" s="1">
        <v>8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</row>
    <row r="44" spans="2:19" x14ac:dyDescent="0.35">
      <c r="B44" s="1">
        <v>3094</v>
      </c>
      <c r="C44" s="1" t="s">
        <v>21</v>
      </c>
      <c r="D44" s="1" t="s">
        <v>18</v>
      </c>
      <c r="E44" s="1">
        <v>0</v>
      </c>
      <c r="F44" s="28">
        <v>0</v>
      </c>
      <c r="G44" s="28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10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</row>
    <row r="45" spans="2:19" x14ac:dyDescent="0.35">
      <c r="B45" s="1">
        <v>3095</v>
      </c>
      <c r="C45" s="1" t="s">
        <v>21</v>
      </c>
      <c r="D45" s="1" t="s">
        <v>18</v>
      </c>
      <c r="E45" s="1">
        <v>0</v>
      </c>
      <c r="F45" s="28">
        <v>2</v>
      </c>
      <c r="G45" s="28">
        <v>0</v>
      </c>
      <c r="H45" s="1">
        <v>0</v>
      </c>
      <c r="I45" s="1">
        <v>0</v>
      </c>
      <c r="J45" s="1">
        <v>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</v>
      </c>
      <c r="R45" s="1">
        <v>0</v>
      </c>
      <c r="S45" s="1">
        <v>0</v>
      </c>
    </row>
    <row r="46" spans="2:19" x14ac:dyDescent="0.35">
      <c r="B46" s="1">
        <v>3096</v>
      </c>
      <c r="C46" s="1" t="s">
        <v>19</v>
      </c>
      <c r="D46" s="1" t="s">
        <v>20</v>
      </c>
      <c r="E46" s="1">
        <v>0</v>
      </c>
      <c r="F46" s="28">
        <v>0</v>
      </c>
      <c r="G46" s="28">
        <v>0</v>
      </c>
      <c r="H46" s="1">
        <v>0</v>
      </c>
      <c r="I46" s="1">
        <v>1</v>
      </c>
      <c r="J46" s="1">
        <v>7</v>
      </c>
      <c r="K46" s="1">
        <v>0</v>
      </c>
      <c r="L46" s="1">
        <v>0</v>
      </c>
      <c r="M46" s="1">
        <v>0</v>
      </c>
      <c r="N46" s="1">
        <v>2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</row>
    <row r="47" spans="2:19" x14ac:dyDescent="0.35">
      <c r="B47" s="1">
        <v>3097</v>
      </c>
      <c r="C47" s="1" t="s">
        <v>22</v>
      </c>
      <c r="D47" s="1" t="s">
        <v>18</v>
      </c>
      <c r="E47" s="1">
        <v>0</v>
      </c>
      <c r="F47" s="28">
        <v>0</v>
      </c>
      <c r="G47" s="28">
        <v>0</v>
      </c>
      <c r="H47" s="1">
        <v>3</v>
      </c>
      <c r="I47" s="1">
        <v>2</v>
      </c>
      <c r="J47" s="1">
        <v>5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</row>
    <row r="48" spans="2:19" x14ac:dyDescent="0.35">
      <c r="B48" s="1">
        <v>3098</v>
      </c>
      <c r="C48" s="1" t="s">
        <v>17</v>
      </c>
      <c r="D48" s="1" t="s">
        <v>20</v>
      </c>
      <c r="E48" s="1">
        <v>0</v>
      </c>
      <c r="F48" s="28">
        <v>0</v>
      </c>
      <c r="G48" s="28">
        <v>0</v>
      </c>
      <c r="H48" s="1">
        <v>0</v>
      </c>
      <c r="I48" s="1">
        <v>3</v>
      </c>
      <c r="J48" s="1">
        <v>5</v>
      </c>
      <c r="K48" s="1">
        <v>0</v>
      </c>
      <c r="L48" s="1">
        <v>0</v>
      </c>
      <c r="M48" s="1">
        <v>2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</row>
    <row r="49" spans="2:19" x14ac:dyDescent="0.35">
      <c r="B49" s="1">
        <v>3099</v>
      </c>
      <c r="C49" s="1" t="s">
        <v>24</v>
      </c>
      <c r="D49" s="1" t="s">
        <v>20</v>
      </c>
      <c r="E49" s="1">
        <v>0</v>
      </c>
      <c r="F49" s="28">
        <v>0</v>
      </c>
      <c r="G49" s="28">
        <v>0</v>
      </c>
      <c r="H49" s="1">
        <v>0</v>
      </c>
      <c r="I49" s="1">
        <v>2</v>
      </c>
      <c r="J49" s="1">
        <v>7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1</v>
      </c>
      <c r="Q49" s="1">
        <v>0</v>
      </c>
      <c r="R49" s="1">
        <v>0</v>
      </c>
      <c r="S49" s="1">
        <v>0</v>
      </c>
    </row>
    <row r="50" spans="2:19" x14ac:dyDescent="0.35">
      <c r="B50" s="1">
        <v>3100</v>
      </c>
      <c r="C50" s="1" t="s">
        <v>22</v>
      </c>
      <c r="D50" s="1" t="s">
        <v>18</v>
      </c>
      <c r="E50" s="1">
        <v>0</v>
      </c>
      <c r="F50" s="28">
        <v>0</v>
      </c>
      <c r="G50" s="28">
        <v>0</v>
      </c>
      <c r="H50" s="1">
        <v>3</v>
      </c>
      <c r="I50" s="1">
        <v>0</v>
      </c>
      <c r="J50" s="1">
        <v>6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1</v>
      </c>
      <c r="Q50" s="1">
        <v>0</v>
      </c>
      <c r="R50" s="1">
        <v>0</v>
      </c>
      <c r="S50" s="1">
        <v>0</v>
      </c>
    </row>
    <row r="51" spans="2:19" x14ac:dyDescent="0.35">
      <c r="B51" s="1">
        <v>3101</v>
      </c>
      <c r="C51" s="1" t="s">
        <v>19</v>
      </c>
      <c r="D51" s="1" t="s">
        <v>18</v>
      </c>
      <c r="E51" s="1">
        <v>0</v>
      </c>
      <c r="F51" s="28">
        <v>0</v>
      </c>
      <c r="G51" s="28">
        <v>0</v>
      </c>
      <c r="H51" s="1">
        <v>0</v>
      </c>
      <c r="I51" s="1">
        <v>0</v>
      </c>
      <c r="J51" s="1">
        <v>8</v>
      </c>
      <c r="K51" s="1">
        <v>0</v>
      </c>
      <c r="L51" s="1">
        <v>1</v>
      </c>
      <c r="M51" s="1">
        <v>0</v>
      </c>
      <c r="N51" s="1">
        <v>1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</row>
    <row r="52" spans="2:19" x14ac:dyDescent="0.35">
      <c r="B52" s="1">
        <v>3102</v>
      </c>
      <c r="C52" s="1" t="s">
        <v>19</v>
      </c>
      <c r="D52" s="1" t="s">
        <v>18</v>
      </c>
      <c r="E52" s="1">
        <v>0</v>
      </c>
      <c r="F52" s="28">
        <v>0</v>
      </c>
      <c r="G52" s="28">
        <v>0</v>
      </c>
      <c r="H52" s="1">
        <v>3</v>
      </c>
      <c r="I52" s="1">
        <v>1</v>
      </c>
      <c r="J52" s="1">
        <v>6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</row>
    <row r="53" spans="2:19" x14ac:dyDescent="0.35">
      <c r="B53" s="1">
        <v>3103</v>
      </c>
      <c r="C53" s="1" t="s">
        <v>19</v>
      </c>
      <c r="D53" s="1" t="s">
        <v>18</v>
      </c>
      <c r="E53" s="1">
        <v>0</v>
      </c>
      <c r="F53" s="28">
        <v>0</v>
      </c>
      <c r="G53" s="28">
        <v>0</v>
      </c>
      <c r="H53" s="1">
        <v>0</v>
      </c>
      <c r="I53" s="1">
        <v>0</v>
      </c>
      <c r="J53" s="1">
        <v>5</v>
      </c>
      <c r="K53" s="1">
        <v>0</v>
      </c>
      <c r="L53" s="1">
        <v>1</v>
      </c>
      <c r="M53" s="1">
        <v>0</v>
      </c>
      <c r="N53" s="1">
        <v>4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</row>
    <row r="54" spans="2:19" x14ac:dyDescent="0.35">
      <c r="B54" s="1">
        <v>3104</v>
      </c>
      <c r="C54" s="1" t="s">
        <v>22</v>
      </c>
      <c r="D54" s="1" t="s">
        <v>18</v>
      </c>
      <c r="E54" s="1">
        <v>0</v>
      </c>
      <c r="F54" s="28">
        <v>4</v>
      </c>
      <c r="G54" s="28">
        <v>0</v>
      </c>
      <c r="H54" s="1">
        <v>0</v>
      </c>
      <c r="I54" s="1">
        <v>0</v>
      </c>
      <c r="J54" s="1">
        <v>5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1</v>
      </c>
      <c r="R54" s="1">
        <v>0</v>
      </c>
      <c r="S54" s="1">
        <v>0</v>
      </c>
    </row>
    <row r="55" spans="2:19" x14ac:dyDescent="0.35">
      <c r="B55" s="1">
        <v>3105</v>
      </c>
      <c r="C55" s="1" t="s">
        <v>19</v>
      </c>
      <c r="D55" s="1" t="s">
        <v>20</v>
      </c>
      <c r="E55" s="1">
        <v>0</v>
      </c>
      <c r="F55" s="28">
        <v>0</v>
      </c>
      <c r="G55" s="28">
        <v>1</v>
      </c>
      <c r="H55" s="1">
        <v>0</v>
      </c>
      <c r="I55" s="1">
        <v>0</v>
      </c>
      <c r="J55" s="1">
        <v>8</v>
      </c>
      <c r="K55" s="1">
        <v>1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</row>
    <row r="56" spans="2:19" x14ac:dyDescent="0.35">
      <c r="B56" s="1">
        <v>3106</v>
      </c>
      <c r="C56" s="1" t="s">
        <v>17</v>
      </c>
      <c r="D56" s="1" t="s">
        <v>20</v>
      </c>
      <c r="E56" s="1">
        <v>0</v>
      </c>
      <c r="F56" s="28">
        <v>0</v>
      </c>
      <c r="G56" s="28">
        <v>0</v>
      </c>
      <c r="H56" s="1">
        <v>0</v>
      </c>
      <c r="I56" s="1">
        <v>2</v>
      </c>
      <c r="J56" s="1">
        <v>7</v>
      </c>
      <c r="K56" s="1">
        <v>0</v>
      </c>
      <c r="L56" s="1">
        <v>0</v>
      </c>
      <c r="M56" s="1">
        <v>0</v>
      </c>
      <c r="N56" s="1">
        <v>1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</row>
    <row r="57" spans="2:19" x14ac:dyDescent="0.35">
      <c r="B57" s="1">
        <v>3107</v>
      </c>
      <c r="C57" s="1" t="s">
        <v>19</v>
      </c>
      <c r="D57" s="1" t="s">
        <v>18</v>
      </c>
      <c r="E57" s="1">
        <v>0</v>
      </c>
      <c r="F57" s="28">
        <v>0</v>
      </c>
      <c r="G57" s="28">
        <v>2</v>
      </c>
      <c r="H57" s="1">
        <v>0</v>
      </c>
      <c r="I57" s="1">
        <v>0</v>
      </c>
      <c r="J57" s="1">
        <v>7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1</v>
      </c>
      <c r="Q57" s="1">
        <v>0</v>
      </c>
      <c r="R57" s="1">
        <v>0</v>
      </c>
      <c r="S57" s="1">
        <v>0</v>
      </c>
    </row>
    <row r="58" spans="2:19" x14ac:dyDescent="0.35">
      <c r="B58" s="1">
        <v>3108</v>
      </c>
      <c r="C58" s="1" t="s">
        <v>19</v>
      </c>
      <c r="D58" s="1" t="s">
        <v>18</v>
      </c>
      <c r="E58" s="1">
        <v>0</v>
      </c>
      <c r="F58" s="28">
        <v>0</v>
      </c>
      <c r="G58" s="28">
        <v>0</v>
      </c>
      <c r="H58" s="1">
        <v>0</v>
      </c>
      <c r="I58" s="1">
        <v>0</v>
      </c>
      <c r="J58" s="1">
        <v>5</v>
      </c>
      <c r="K58" s="1">
        <v>0</v>
      </c>
      <c r="L58" s="1">
        <v>3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2</v>
      </c>
    </row>
    <row r="59" spans="2:19" x14ac:dyDescent="0.35">
      <c r="B59" s="1">
        <v>3109</v>
      </c>
      <c r="C59" s="1" t="s">
        <v>19</v>
      </c>
      <c r="D59" s="1" t="s">
        <v>18</v>
      </c>
      <c r="E59" s="1">
        <v>0</v>
      </c>
      <c r="F59" s="28">
        <v>1</v>
      </c>
      <c r="G59" s="28">
        <v>0</v>
      </c>
      <c r="H59" s="1">
        <v>0</v>
      </c>
      <c r="I59" s="1">
        <v>0</v>
      </c>
      <c r="J59" s="1">
        <v>8</v>
      </c>
      <c r="K59" s="1">
        <v>0</v>
      </c>
      <c r="L59" s="1">
        <v>0</v>
      </c>
      <c r="M59" s="1">
        <v>0</v>
      </c>
      <c r="N59" s="1">
        <v>1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</row>
    <row r="60" spans="2:19" x14ac:dyDescent="0.35">
      <c r="B60" s="1">
        <v>3110</v>
      </c>
      <c r="C60" s="1" t="s">
        <v>17</v>
      </c>
      <c r="D60" s="1" t="s">
        <v>20</v>
      </c>
      <c r="E60" s="1">
        <v>0</v>
      </c>
      <c r="F60" s="28">
        <v>0</v>
      </c>
      <c r="G60" s="28">
        <v>0</v>
      </c>
      <c r="H60" s="1">
        <v>0</v>
      </c>
      <c r="I60" s="1">
        <v>0</v>
      </c>
      <c r="J60" s="1">
        <v>8</v>
      </c>
      <c r="K60" s="1">
        <v>0</v>
      </c>
      <c r="L60" s="1">
        <v>0</v>
      </c>
      <c r="M60" s="1">
        <v>1</v>
      </c>
      <c r="N60" s="1">
        <v>0</v>
      </c>
      <c r="O60" s="1">
        <v>0</v>
      </c>
      <c r="P60" s="1">
        <v>1</v>
      </c>
      <c r="Q60" s="1">
        <v>0</v>
      </c>
      <c r="R60" s="1">
        <v>0</v>
      </c>
      <c r="S60" s="1">
        <v>0</v>
      </c>
    </row>
    <row r="61" spans="2:19" x14ac:dyDescent="0.35">
      <c r="B61" s="1">
        <v>3111</v>
      </c>
      <c r="C61" s="1" t="s">
        <v>19</v>
      </c>
      <c r="D61" s="1" t="s">
        <v>18</v>
      </c>
      <c r="E61" s="1">
        <v>0</v>
      </c>
      <c r="F61" s="28">
        <v>0</v>
      </c>
      <c r="G61" s="28">
        <v>0</v>
      </c>
      <c r="H61" s="1">
        <v>3</v>
      </c>
      <c r="I61" s="1">
        <v>0</v>
      </c>
      <c r="J61" s="1">
        <v>5</v>
      </c>
      <c r="K61" s="1">
        <v>0</v>
      </c>
      <c r="L61" s="1">
        <v>0</v>
      </c>
      <c r="M61" s="1">
        <v>0</v>
      </c>
      <c r="N61" s="1">
        <v>0</v>
      </c>
      <c r="O61" s="1">
        <v>2</v>
      </c>
      <c r="P61" s="1">
        <v>0</v>
      </c>
      <c r="Q61" s="1">
        <v>0</v>
      </c>
      <c r="R61" s="1">
        <v>0</v>
      </c>
      <c r="S61" s="1">
        <v>0</v>
      </c>
    </row>
    <row r="62" spans="2:19" x14ac:dyDescent="0.35">
      <c r="B62" s="1">
        <v>3112</v>
      </c>
      <c r="C62" s="1" t="s">
        <v>17</v>
      </c>
      <c r="D62" s="1" t="s">
        <v>20</v>
      </c>
      <c r="E62" s="1">
        <v>0</v>
      </c>
      <c r="F62" s="28">
        <v>0</v>
      </c>
      <c r="G62" s="28">
        <v>0</v>
      </c>
      <c r="H62" s="1">
        <v>2</v>
      </c>
      <c r="I62" s="1">
        <v>0</v>
      </c>
      <c r="J62" s="1">
        <v>7</v>
      </c>
      <c r="K62" s="1">
        <v>0</v>
      </c>
      <c r="L62" s="1">
        <v>0</v>
      </c>
      <c r="M62" s="1">
        <v>0</v>
      </c>
      <c r="N62" s="1">
        <v>1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</row>
    <row r="63" spans="2:19" x14ac:dyDescent="0.35">
      <c r="B63" s="1">
        <v>3113</v>
      </c>
      <c r="C63" s="1" t="s">
        <v>17</v>
      </c>
      <c r="D63" s="1" t="s">
        <v>20</v>
      </c>
      <c r="E63" s="1">
        <v>0</v>
      </c>
      <c r="F63" s="28">
        <v>2</v>
      </c>
      <c r="G63" s="28">
        <v>0</v>
      </c>
      <c r="H63" s="1">
        <v>0</v>
      </c>
      <c r="I63" s="1">
        <v>0</v>
      </c>
      <c r="J63" s="1">
        <v>6</v>
      </c>
      <c r="K63" s="1">
        <v>0</v>
      </c>
      <c r="L63" s="1">
        <v>0</v>
      </c>
      <c r="M63" s="1">
        <v>2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</row>
    <row r="64" spans="2:19" x14ac:dyDescent="0.35">
      <c r="B64" s="1">
        <v>3114</v>
      </c>
      <c r="C64" s="1" t="s">
        <v>21</v>
      </c>
      <c r="D64" s="1" t="s">
        <v>20</v>
      </c>
      <c r="E64" s="1">
        <v>0</v>
      </c>
      <c r="F64" s="28">
        <v>1</v>
      </c>
      <c r="G64" s="28">
        <v>0</v>
      </c>
      <c r="H64" s="1">
        <v>0</v>
      </c>
      <c r="I64" s="1">
        <v>0</v>
      </c>
      <c r="J64" s="1">
        <v>8</v>
      </c>
      <c r="K64" s="1">
        <v>0</v>
      </c>
      <c r="L64" s="1">
        <v>0</v>
      </c>
      <c r="M64" s="1">
        <v>0</v>
      </c>
      <c r="N64" s="1">
        <v>0</v>
      </c>
      <c r="O64" s="1">
        <v>1</v>
      </c>
      <c r="P64" s="1">
        <v>0</v>
      </c>
      <c r="Q64" s="1">
        <v>0</v>
      </c>
      <c r="R64" s="1">
        <v>0</v>
      </c>
      <c r="S64" s="1">
        <v>0</v>
      </c>
    </row>
    <row r="65" spans="2:19" x14ac:dyDescent="0.35">
      <c r="B65" s="1">
        <v>3115</v>
      </c>
      <c r="C65" s="1" t="s">
        <v>24</v>
      </c>
      <c r="D65" s="1" t="s">
        <v>20</v>
      </c>
      <c r="E65" s="1">
        <v>0</v>
      </c>
      <c r="F65" s="28">
        <v>4</v>
      </c>
      <c r="G65" s="28">
        <v>0</v>
      </c>
      <c r="H65" s="1">
        <v>0</v>
      </c>
      <c r="I65" s="1">
        <v>1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5</v>
      </c>
    </row>
    <row r="66" spans="2:19" x14ac:dyDescent="0.35">
      <c r="B66" s="1">
        <v>3116</v>
      </c>
      <c r="C66" s="1" t="s">
        <v>17</v>
      </c>
      <c r="D66" s="1" t="s">
        <v>20</v>
      </c>
      <c r="E66" s="1">
        <v>0</v>
      </c>
      <c r="F66" s="28">
        <v>0</v>
      </c>
      <c r="G66" s="28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10</v>
      </c>
    </row>
    <row r="67" spans="2:19" x14ac:dyDescent="0.35">
      <c r="B67" s="1">
        <v>3117</v>
      </c>
      <c r="C67" s="1" t="s">
        <v>17</v>
      </c>
      <c r="D67" s="1" t="s">
        <v>20</v>
      </c>
      <c r="E67" s="1">
        <v>0</v>
      </c>
      <c r="F67" s="28">
        <v>0</v>
      </c>
      <c r="G67" s="28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10</v>
      </c>
    </row>
    <row r="68" spans="2:19" x14ac:dyDescent="0.35">
      <c r="B68" s="1">
        <v>3118</v>
      </c>
      <c r="C68" s="1" t="s">
        <v>22</v>
      </c>
      <c r="D68" s="1" t="s">
        <v>18</v>
      </c>
      <c r="E68" s="1">
        <v>0</v>
      </c>
      <c r="F68" s="28">
        <v>0</v>
      </c>
      <c r="G68" s="28">
        <v>0</v>
      </c>
      <c r="H68" s="1">
        <v>0</v>
      </c>
      <c r="I68" s="1">
        <v>0</v>
      </c>
      <c r="J68" s="1">
        <v>1</v>
      </c>
      <c r="K68" s="1">
        <v>0</v>
      </c>
      <c r="L68" s="1">
        <v>3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6</v>
      </c>
    </row>
    <row r="69" spans="2:19" x14ac:dyDescent="0.35">
      <c r="B69" s="1">
        <v>3119</v>
      </c>
      <c r="C69" s="1" t="s">
        <v>22</v>
      </c>
      <c r="D69" s="1" t="s">
        <v>18</v>
      </c>
      <c r="E69" s="1">
        <v>0</v>
      </c>
      <c r="F69" s="28">
        <v>0</v>
      </c>
      <c r="G69" s="28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10</v>
      </c>
    </row>
    <row r="70" spans="2:19" x14ac:dyDescent="0.35">
      <c r="B70" s="1">
        <v>3120</v>
      </c>
      <c r="C70" s="1" t="s">
        <v>24</v>
      </c>
      <c r="D70" s="1" t="s">
        <v>20</v>
      </c>
      <c r="E70" s="1">
        <v>0</v>
      </c>
      <c r="F70" s="28">
        <v>0</v>
      </c>
      <c r="G70" s="28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10</v>
      </c>
    </row>
    <row r="71" spans="2:19" x14ac:dyDescent="0.35">
      <c r="B71" s="1">
        <v>3121</v>
      </c>
      <c r="C71" s="1" t="s">
        <v>17</v>
      </c>
      <c r="D71" s="1" t="s">
        <v>20</v>
      </c>
      <c r="E71" s="1">
        <v>0</v>
      </c>
      <c r="F71" s="28">
        <v>0</v>
      </c>
      <c r="G71" s="28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1</v>
      </c>
      <c r="P71" s="1">
        <v>2</v>
      </c>
      <c r="Q71" s="1">
        <v>0</v>
      </c>
      <c r="R71" s="1">
        <v>0</v>
      </c>
      <c r="S71" s="1">
        <v>7</v>
      </c>
    </row>
    <row r="72" spans="2:19" x14ac:dyDescent="0.35">
      <c r="B72" s="1">
        <v>3122</v>
      </c>
      <c r="C72" s="1" t="s">
        <v>19</v>
      </c>
      <c r="D72" s="1" t="s">
        <v>20</v>
      </c>
      <c r="E72" s="1">
        <v>1</v>
      </c>
      <c r="F72" s="28">
        <v>0</v>
      </c>
      <c r="G72" s="28">
        <v>0</v>
      </c>
      <c r="H72" s="1">
        <v>2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7</v>
      </c>
    </row>
    <row r="73" spans="2:19" x14ac:dyDescent="0.35">
      <c r="B73" s="1">
        <v>3123</v>
      </c>
      <c r="C73" s="1" t="s">
        <v>19</v>
      </c>
      <c r="D73" s="1" t="s">
        <v>18</v>
      </c>
      <c r="E73" s="1">
        <v>0</v>
      </c>
      <c r="F73" s="28">
        <v>0</v>
      </c>
      <c r="G73" s="28">
        <v>0</v>
      </c>
      <c r="H73" s="1">
        <v>0</v>
      </c>
      <c r="I73" s="1">
        <v>0</v>
      </c>
      <c r="J73" s="1">
        <v>0</v>
      </c>
      <c r="K73" s="1">
        <v>0</v>
      </c>
      <c r="L73" s="1">
        <v>4</v>
      </c>
      <c r="M73" s="1">
        <v>0</v>
      </c>
      <c r="N73" s="1">
        <v>1</v>
      </c>
      <c r="O73" s="1">
        <v>0</v>
      </c>
      <c r="P73" s="1">
        <v>0</v>
      </c>
      <c r="Q73" s="1">
        <v>0</v>
      </c>
      <c r="R73" s="1">
        <v>0</v>
      </c>
      <c r="S73" s="1">
        <v>5</v>
      </c>
    </row>
    <row r="74" spans="2:19" x14ac:dyDescent="0.35">
      <c r="B74" s="1">
        <v>3124</v>
      </c>
      <c r="C74" s="1" t="s">
        <v>19</v>
      </c>
      <c r="D74" s="1" t="s">
        <v>18</v>
      </c>
      <c r="E74" s="1">
        <v>0</v>
      </c>
      <c r="F74" s="28">
        <v>0</v>
      </c>
      <c r="G74" s="28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10</v>
      </c>
    </row>
    <row r="75" spans="2:19" x14ac:dyDescent="0.35">
      <c r="B75" s="1">
        <v>3125</v>
      </c>
      <c r="C75" s="1" t="s">
        <v>17</v>
      </c>
      <c r="D75" s="1" t="s">
        <v>18</v>
      </c>
      <c r="E75" s="1">
        <v>0</v>
      </c>
      <c r="F75" s="28">
        <v>0</v>
      </c>
      <c r="G75" s="28">
        <v>1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4</v>
      </c>
      <c r="O75" s="1">
        <v>0</v>
      </c>
      <c r="P75" s="1">
        <v>0</v>
      </c>
      <c r="Q75" s="1">
        <v>0</v>
      </c>
      <c r="R75" s="1">
        <v>0</v>
      </c>
      <c r="S75" s="1">
        <v>5</v>
      </c>
    </row>
    <row r="76" spans="2:19" x14ac:dyDescent="0.35">
      <c r="B76" s="1">
        <v>3126</v>
      </c>
      <c r="C76" s="1" t="s">
        <v>22</v>
      </c>
      <c r="D76" s="1" t="s">
        <v>18</v>
      </c>
      <c r="E76" s="1">
        <v>0</v>
      </c>
      <c r="F76" s="28">
        <v>0</v>
      </c>
      <c r="G76" s="28">
        <v>0</v>
      </c>
      <c r="H76" s="1">
        <v>0</v>
      </c>
      <c r="I76" s="1">
        <v>0</v>
      </c>
      <c r="J76" s="1">
        <v>2</v>
      </c>
      <c r="K76" s="1">
        <v>0</v>
      </c>
      <c r="L76" s="1">
        <v>0</v>
      </c>
      <c r="M76" s="1">
        <v>0</v>
      </c>
      <c r="N76" s="1">
        <v>1</v>
      </c>
      <c r="O76" s="1">
        <v>0</v>
      </c>
      <c r="P76" s="1">
        <v>0</v>
      </c>
      <c r="Q76" s="1">
        <v>0</v>
      </c>
      <c r="R76" s="1">
        <v>0</v>
      </c>
      <c r="S76" s="1">
        <v>7</v>
      </c>
    </row>
    <row r="77" spans="2:19" x14ac:dyDescent="0.35">
      <c r="B77" s="1">
        <v>3127</v>
      </c>
      <c r="C77" s="1" t="s">
        <v>25</v>
      </c>
      <c r="D77" s="1" t="s">
        <v>20</v>
      </c>
      <c r="E77" s="1">
        <v>0</v>
      </c>
      <c r="F77" s="28">
        <v>0</v>
      </c>
      <c r="G77" s="28">
        <v>0</v>
      </c>
      <c r="H77" s="1">
        <v>0</v>
      </c>
      <c r="I77" s="1">
        <v>1</v>
      </c>
      <c r="J77" s="1">
        <v>3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6</v>
      </c>
    </row>
    <row r="78" spans="2:19" x14ac:dyDescent="0.35">
      <c r="B78" s="1">
        <v>3128</v>
      </c>
      <c r="C78" s="1" t="s">
        <v>17</v>
      </c>
      <c r="D78" s="1" t="s">
        <v>20</v>
      </c>
      <c r="E78" s="1">
        <v>0</v>
      </c>
      <c r="F78" s="28">
        <v>0</v>
      </c>
      <c r="G78" s="28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10</v>
      </c>
    </row>
    <row r="79" spans="2:19" x14ac:dyDescent="0.35">
      <c r="B79" s="1">
        <v>3129</v>
      </c>
      <c r="C79" s="1" t="s">
        <v>23</v>
      </c>
      <c r="D79" s="1" t="s">
        <v>18</v>
      </c>
      <c r="E79" s="1">
        <v>0</v>
      </c>
      <c r="F79" s="28">
        <v>0</v>
      </c>
      <c r="G79" s="28">
        <v>0</v>
      </c>
      <c r="H79" s="1">
        <v>1</v>
      </c>
      <c r="I79" s="1">
        <v>6</v>
      </c>
      <c r="J79" s="1">
        <v>3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</row>
    <row r="80" spans="2:19" x14ac:dyDescent="0.35">
      <c r="B80" s="1">
        <v>3130</v>
      </c>
      <c r="C80" s="1" t="s">
        <v>23</v>
      </c>
      <c r="D80" s="1" t="s">
        <v>18</v>
      </c>
      <c r="E80" s="1">
        <v>0</v>
      </c>
      <c r="F80" s="28">
        <v>0</v>
      </c>
      <c r="G80" s="28">
        <v>0</v>
      </c>
      <c r="H80" s="1">
        <v>0</v>
      </c>
      <c r="I80" s="1">
        <v>7</v>
      </c>
      <c r="J80" s="1">
        <v>2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1</v>
      </c>
    </row>
    <row r="81" spans="2:19" x14ac:dyDescent="0.35">
      <c r="B81" s="1">
        <v>3131</v>
      </c>
      <c r="C81" s="1" t="s">
        <v>22</v>
      </c>
      <c r="D81" s="1" t="s">
        <v>18</v>
      </c>
      <c r="E81" s="1">
        <v>0</v>
      </c>
      <c r="F81" s="28">
        <v>0</v>
      </c>
      <c r="G81" s="28">
        <v>0</v>
      </c>
      <c r="H81" s="1">
        <v>0</v>
      </c>
      <c r="I81" s="1">
        <v>8</v>
      </c>
      <c r="J81" s="1">
        <v>1</v>
      </c>
      <c r="K81" s="1">
        <v>1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</row>
    <row r="82" spans="2:19" x14ac:dyDescent="0.35">
      <c r="B82" s="1">
        <v>3132</v>
      </c>
      <c r="C82" s="1" t="s">
        <v>17</v>
      </c>
      <c r="D82" s="1" t="s">
        <v>18</v>
      </c>
      <c r="E82" s="1">
        <v>0</v>
      </c>
      <c r="F82" s="28">
        <v>0</v>
      </c>
      <c r="G82" s="28">
        <v>0</v>
      </c>
      <c r="H82" s="1">
        <v>0</v>
      </c>
      <c r="I82" s="1">
        <v>5</v>
      </c>
      <c r="J82" s="1">
        <v>3</v>
      </c>
      <c r="K82" s="1">
        <v>0</v>
      </c>
      <c r="L82" s="1">
        <v>0</v>
      </c>
      <c r="M82" s="1">
        <v>0</v>
      </c>
      <c r="N82" s="1">
        <v>2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2:19" x14ac:dyDescent="0.35">
      <c r="B83" s="1">
        <v>3133</v>
      </c>
      <c r="C83" s="1" t="s">
        <v>19</v>
      </c>
      <c r="D83" s="1" t="s">
        <v>18</v>
      </c>
      <c r="E83" s="1">
        <v>0</v>
      </c>
      <c r="F83" s="28">
        <v>0</v>
      </c>
      <c r="G83" s="28">
        <v>0</v>
      </c>
      <c r="H83" s="1">
        <v>0</v>
      </c>
      <c r="I83" s="1">
        <v>8</v>
      </c>
      <c r="J83" s="1">
        <v>1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1</v>
      </c>
      <c r="Q83" s="1">
        <v>0</v>
      </c>
      <c r="R83" s="1">
        <v>0</v>
      </c>
      <c r="S83" s="1">
        <v>0</v>
      </c>
    </row>
    <row r="84" spans="2:19" x14ac:dyDescent="0.35">
      <c r="B84" s="1">
        <v>3134</v>
      </c>
      <c r="C84" s="1" t="s">
        <v>22</v>
      </c>
      <c r="D84" s="1" t="s">
        <v>20</v>
      </c>
      <c r="E84" s="1">
        <v>0</v>
      </c>
      <c r="F84" s="28">
        <v>0</v>
      </c>
      <c r="G84" s="28">
        <v>0</v>
      </c>
      <c r="H84" s="1">
        <v>0</v>
      </c>
      <c r="I84" s="1">
        <v>8</v>
      </c>
      <c r="J84" s="1">
        <v>1</v>
      </c>
      <c r="K84" s="1">
        <v>0</v>
      </c>
      <c r="L84" s="1">
        <v>0</v>
      </c>
      <c r="M84" s="1">
        <v>1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</row>
    <row r="85" spans="2:19" x14ac:dyDescent="0.35">
      <c r="B85" s="1">
        <v>3135</v>
      </c>
      <c r="C85" s="1" t="s">
        <v>23</v>
      </c>
      <c r="D85" s="1" t="s">
        <v>18</v>
      </c>
      <c r="E85" s="1">
        <v>0</v>
      </c>
      <c r="F85" s="28">
        <v>0</v>
      </c>
      <c r="G85" s="28">
        <v>0</v>
      </c>
      <c r="H85" s="1">
        <v>0</v>
      </c>
      <c r="I85" s="1">
        <v>8</v>
      </c>
      <c r="J85" s="1">
        <v>1</v>
      </c>
      <c r="K85" s="1">
        <v>0</v>
      </c>
      <c r="L85" s="1">
        <v>0</v>
      </c>
      <c r="M85" s="1">
        <v>0</v>
      </c>
      <c r="N85" s="1">
        <v>1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</row>
    <row r="86" spans="2:19" x14ac:dyDescent="0.35">
      <c r="B86" s="1">
        <v>3136</v>
      </c>
      <c r="C86" s="1" t="s">
        <v>21</v>
      </c>
      <c r="D86" s="1" t="s">
        <v>18</v>
      </c>
      <c r="E86" s="1">
        <v>0</v>
      </c>
      <c r="F86" s="28">
        <v>0</v>
      </c>
      <c r="G86" s="28">
        <v>0</v>
      </c>
      <c r="H86" s="1">
        <v>0</v>
      </c>
      <c r="I86" s="1">
        <v>5</v>
      </c>
      <c r="J86" s="1">
        <v>3</v>
      </c>
      <c r="K86" s="1">
        <v>0</v>
      </c>
      <c r="L86" s="1">
        <v>2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</row>
    <row r="87" spans="2:19" x14ac:dyDescent="0.35">
      <c r="B87" s="1">
        <v>3137</v>
      </c>
      <c r="C87" s="1" t="s">
        <v>22</v>
      </c>
      <c r="D87" s="1" t="s">
        <v>18</v>
      </c>
      <c r="E87" s="1">
        <v>0</v>
      </c>
      <c r="F87" s="28">
        <v>0</v>
      </c>
      <c r="G87" s="28">
        <v>0</v>
      </c>
      <c r="H87" s="1">
        <v>0</v>
      </c>
      <c r="I87" s="1">
        <v>6</v>
      </c>
      <c r="J87" s="1">
        <v>2</v>
      </c>
      <c r="K87" s="1">
        <v>0</v>
      </c>
      <c r="L87" s="1">
        <v>0</v>
      </c>
      <c r="M87" s="1">
        <v>2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</row>
    <row r="88" spans="2:19" x14ac:dyDescent="0.35">
      <c r="B88" s="1">
        <v>3138</v>
      </c>
      <c r="C88" s="1" t="s">
        <v>17</v>
      </c>
      <c r="D88" s="1" t="s">
        <v>18</v>
      </c>
      <c r="E88" s="1">
        <v>0</v>
      </c>
      <c r="F88" s="28">
        <v>1</v>
      </c>
      <c r="G88" s="28">
        <v>0</v>
      </c>
      <c r="H88" s="1">
        <v>0</v>
      </c>
      <c r="I88" s="1">
        <v>8</v>
      </c>
      <c r="J88" s="1">
        <v>1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</row>
    <row r="89" spans="2:19" x14ac:dyDescent="0.35">
      <c r="B89" s="1">
        <v>3139</v>
      </c>
      <c r="C89" s="1" t="s">
        <v>21</v>
      </c>
      <c r="D89" s="1" t="s">
        <v>20</v>
      </c>
      <c r="E89" s="1">
        <v>1</v>
      </c>
      <c r="F89" s="28">
        <v>0</v>
      </c>
      <c r="G89" s="28">
        <v>0</v>
      </c>
      <c r="H89" s="1">
        <v>0</v>
      </c>
      <c r="I89" s="1">
        <v>8</v>
      </c>
      <c r="J89" s="1">
        <v>1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</row>
    <row r="90" spans="2:19" x14ac:dyDescent="0.35">
      <c r="B90" s="1">
        <v>3140</v>
      </c>
      <c r="C90" s="1" t="s">
        <v>17</v>
      </c>
      <c r="D90" s="1" t="s">
        <v>20</v>
      </c>
      <c r="E90" s="1">
        <v>0</v>
      </c>
      <c r="F90" s="28">
        <v>0</v>
      </c>
      <c r="G90" s="28">
        <v>0</v>
      </c>
      <c r="H90" s="1">
        <v>0</v>
      </c>
      <c r="I90" s="1">
        <v>7</v>
      </c>
      <c r="J90" s="1">
        <v>2</v>
      </c>
      <c r="K90" s="1">
        <v>0</v>
      </c>
      <c r="L90" s="1">
        <v>0</v>
      </c>
      <c r="M90" s="1">
        <v>1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</row>
    <row r="91" spans="2:19" x14ac:dyDescent="0.35">
      <c r="B91" s="1">
        <v>3141</v>
      </c>
      <c r="C91" s="1" t="s">
        <v>17</v>
      </c>
      <c r="D91" s="1" t="s">
        <v>20</v>
      </c>
      <c r="E91" s="1">
        <v>0</v>
      </c>
      <c r="F91" s="28">
        <v>2</v>
      </c>
      <c r="G91" s="28">
        <v>0</v>
      </c>
      <c r="H91" s="1">
        <v>0</v>
      </c>
      <c r="I91" s="1">
        <v>5</v>
      </c>
      <c r="J91" s="1">
        <v>3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</row>
    <row r="92" spans="2:19" x14ac:dyDescent="0.35">
      <c r="B92" s="1">
        <v>3142</v>
      </c>
      <c r="C92" s="1" t="s">
        <v>17</v>
      </c>
      <c r="D92" s="1" t="s">
        <v>18</v>
      </c>
      <c r="E92" s="1">
        <v>0</v>
      </c>
      <c r="F92" s="28">
        <v>0</v>
      </c>
      <c r="G92" s="28">
        <v>0</v>
      </c>
      <c r="H92" s="1">
        <v>0</v>
      </c>
      <c r="I92" s="1">
        <v>7</v>
      </c>
      <c r="J92" s="1">
        <v>2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1</v>
      </c>
    </row>
    <row r="93" spans="2:19" x14ac:dyDescent="0.35">
      <c r="B93" s="1">
        <v>3143</v>
      </c>
      <c r="C93" s="1" t="s">
        <v>17</v>
      </c>
      <c r="D93" s="1" t="s">
        <v>18</v>
      </c>
      <c r="E93" s="1">
        <v>0</v>
      </c>
      <c r="F93" s="28">
        <v>0</v>
      </c>
      <c r="G93" s="28">
        <v>0</v>
      </c>
      <c r="H93" s="1">
        <v>1</v>
      </c>
      <c r="I93" s="1">
        <v>6</v>
      </c>
      <c r="J93" s="1">
        <v>3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</row>
    <row r="94" spans="2:19" x14ac:dyDescent="0.35">
      <c r="B94" s="1">
        <v>3144</v>
      </c>
      <c r="C94" s="1" t="s">
        <v>19</v>
      </c>
      <c r="D94" s="1" t="s">
        <v>18</v>
      </c>
      <c r="E94" s="1">
        <v>0</v>
      </c>
      <c r="F94" s="28">
        <v>0</v>
      </c>
      <c r="G94" s="28">
        <v>0</v>
      </c>
      <c r="H94" s="1">
        <v>0</v>
      </c>
      <c r="I94" s="1">
        <v>5</v>
      </c>
      <c r="J94" s="1">
        <v>4</v>
      </c>
      <c r="K94" s="1">
        <v>0</v>
      </c>
      <c r="L94" s="1">
        <v>0</v>
      </c>
      <c r="M94" s="1">
        <v>0</v>
      </c>
      <c r="N94" s="1">
        <v>1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</row>
    <row r="95" spans="2:19" x14ac:dyDescent="0.35">
      <c r="B95" s="1">
        <v>3145</v>
      </c>
      <c r="C95" s="1" t="s">
        <v>25</v>
      </c>
      <c r="D95" s="1" t="s">
        <v>18</v>
      </c>
      <c r="E95" s="1">
        <v>0</v>
      </c>
      <c r="F95" s="28">
        <v>0</v>
      </c>
      <c r="G95" s="28">
        <v>0</v>
      </c>
      <c r="H95" s="1">
        <v>0</v>
      </c>
      <c r="I95" s="1">
        <v>7</v>
      </c>
      <c r="J95" s="1">
        <v>2</v>
      </c>
      <c r="K95" s="1">
        <v>0</v>
      </c>
      <c r="L95" s="1">
        <v>0</v>
      </c>
      <c r="M95" s="1">
        <v>1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</row>
    <row r="96" spans="2:19" x14ac:dyDescent="0.35">
      <c r="B96" s="1">
        <v>3146</v>
      </c>
      <c r="C96" s="1" t="s">
        <v>23</v>
      </c>
      <c r="D96" s="1" t="s">
        <v>18</v>
      </c>
      <c r="E96" s="1">
        <v>0</v>
      </c>
      <c r="F96" s="28">
        <v>0</v>
      </c>
      <c r="G96" s="28">
        <v>0</v>
      </c>
      <c r="H96" s="1">
        <v>0</v>
      </c>
      <c r="I96" s="1">
        <v>8</v>
      </c>
      <c r="J96" s="1">
        <v>1</v>
      </c>
      <c r="K96" s="1">
        <v>0</v>
      </c>
      <c r="L96" s="1">
        <v>0</v>
      </c>
      <c r="M96" s="1">
        <v>1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</row>
    <row r="97" spans="2:19" x14ac:dyDescent="0.35">
      <c r="B97" s="1">
        <v>3147</v>
      </c>
      <c r="C97" s="1" t="s">
        <v>19</v>
      </c>
      <c r="D97" s="1" t="s">
        <v>18</v>
      </c>
      <c r="E97" s="1">
        <v>0</v>
      </c>
      <c r="F97" s="28">
        <v>0</v>
      </c>
      <c r="G97" s="28">
        <v>0</v>
      </c>
      <c r="H97" s="1">
        <v>0</v>
      </c>
      <c r="I97" s="1">
        <v>8</v>
      </c>
      <c r="J97" s="1">
        <v>1</v>
      </c>
      <c r="K97" s="1">
        <v>0</v>
      </c>
      <c r="L97" s="1">
        <v>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</row>
    <row r="98" spans="2:19" x14ac:dyDescent="0.35">
      <c r="B98" s="1">
        <v>3148</v>
      </c>
      <c r="C98" s="1" t="s">
        <v>23</v>
      </c>
      <c r="D98" s="1" t="s">
        <v>20</v>
      </c>
      <c r="E98" s="1">
        <v>0</v>
      </c>
      <c r="F98" s="28">
        <v>0</v>
      </c>
      <c r="G98" s="28">
        <v>0</v>
      </c>
      <c r="H98" s="1">
        <v>0</v>
      </c>
      <c r="I98" s="1">
        <v>6</v>
      </c>
      <c r="J98" s="1">
        <v>3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1</v>
      </c>
    </row>
    <row r="99" spans="2:19" x14ac:dyDescent="0.35">
      <c r="B99" s="1">
        <v>3149</v>
      </c>
      <c r="C99" s="1" t="s">
        <v>17</v>
      </c>
      <c r="D99" s="1" t="s">
        <v>18</v>
      </c>
      <c r="E99" s="1">
        <v>0</v>
      </c>
      <c r="F99" s="28">
        <v>0</v>
      </c>
      <c r="G99" s="28">
        <v>0</v>
      </c>
      <c r="H99" s="1">
        <v>0</v>
      </c>
      <c r="I99" s="1">
        <v>0</v>
      </c>
      <c r="J99" s="1">
        <v>1</v>
      </c>
      <c r="K99" s="1">
        <v>0</v>
      </c>
      <c r="L99" s="1">
        <v>0</v>
      </c>
      <c r="M99" s="1">
        <v>0</v>
      </c>
      <c r="N99" s="1">
        <v>9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</row>
    <row r="100" spans="2:19" x14ac:dyDescent="0.35">
      <c r="B100" s="1">
        <v>3150</v>
      </c>
      <c r="C100" s="1" t="s">
        <v>19</v>
      </c>
      <c r="D100" s="1" t="s">
        <v>20</v>
      </c>
      <c r="E100" s="1">
        <v>0</v>
      </c>
      <c r="F100" s="28">
        <v>0</v>
      </c>
      <c r="G100" s="28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1</v>
      </c>
      <c r="N100" s="1">
        <v>8</v>
      </c>
      <c r="O100" s="1">
        <v>0</v>
      </c>
      <c r="P100" s="1">
        <v>1</v>
      </c>
      <c r="Q100" s="1">
        <v>0</v>
      </c>
      <c r="R100" s="1">
        <v>0</v>
      </c>
      <c r="S100" s="1">
        <v>0</v>
      </c>
    </row>
    <row r="101" spans="2:19" x14ac:dyDescent="0.35">
      <c r="B101" s="1">
        <v>3151</v>
      </c>
      <c r="C101" s="1" t="s">
        <v>19</v>
      </c>
      <c r="D101" s="1" t="s">
        <v>18</v>
      </c>
      <c r="E101" s="1">
        <v>0</v>
      </c>
      <c r="F101" s="28">
        <v>0</v>
      </c>
      <c r="G101" s="28">
        <v>0</v>
      </c>
      <c r="H101" s="1">
        <v>0</v>
      </c>
      <c r="I101" s="1">
        <v>0</v>
      </c>
      <c r="J101" s="1">
        <v>0</v>
      </c>
      <c r="K101" s="1">
        <v>1</v>
      </c>
      <c r="L101" s="1">
        <v>0</v>
      </c>
      <c r="M101" s="1">
        <v>0</v>
      </c>
      <c r="N101" s="1">
        <v>7</v>
      </c>
      <c r="O101" s="1">
        <v>0</v>
      </c>
      <c r="P101" s="1">
        <v>2</v>
      </c>
      <c r="Q101" s="1">
        <v>0</v>
      </c>
      <c r="R101" s="1">
        <v>0</v>
      </c>
      <c r="S101" s="1">
        <v>0</v>
      </c>
    </row>
    <row r="102" spans="2:19" x14ac:dyDescent="0.35">
      <c r="B102" s="1">
        <v>3152</v>
      </c>
      <c r="C102" s="1" t="s">
        <v>22</v>
      </c>
      <c r="D102" s="1" t="s">
        <v>18</v>
      </c>
      <c r="E102" s="1">
        <v>0</v>
      </c>
      <c r="F102" s="28">
        <v>0</v>
      </c>
      <c r="G102" s="28">
        <v>2</v>
      </c>
      <c r="H102" s="1">
        <v>0</v>
      </c>
      <c r="I102" s="1">
        <v>2</v>
      </c>
      <c r="J102" s="1">
        <v>0</v>
      </c>
      <c r="K102" s="1">
        <v>0</v>
      </c>
      <c r="L102" s="1">
        <v>0</v>
      </c>
      <c r="M102" s="1">
        <v>0</v>
      </c>
      <c r="N102" s="1">
        <v>6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</row>
    <row r="103" spans="2:19" x14ac:dyDescent="0.35">
      <c r="B103" s="1">
        <v>3153</v>
      </c>
      <c r="C103" s="1" t="s">
        <v>120</v>
      </c>
      <c r="D103" s="1" t="s">
        <v>20</v>
      </c>
      <c r="E103" s="1">
        <v>0</v>
      </c>
      <c r="F103" s="28">
        <v>1</v>
      </c>
      <c r="G103" s="28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8</v>
      </c>
      <c r="O103" s="1">
        <v>0</v>
      </c>
      <c r="P103" s="1">
        <v>0</v>
      </c>
      <c r="Q103" s="1">
        <v>1</v>
      </c>
      <c r="R103" s="1">
        <v>0</v>
      </c>
      <c r="S103" s="1">
        <v>0</v>
      </c>
    </row>
    <row r="104" spans="2:19" x14ac:dyDescent="0.35">
      <c r="B104" s="1">
        <v>3154</v>
      </c>
      <c r="C104" s="1" t="s">
        <v>22</v>
      </c>
      <c r="D104" s="1" t="s">
        <v>18</v>
      </c>
      <c r="E104" s="1">
        <v>0</v>
      </c>
      <c r="F104" s="28">
        <v>0</v>
      </c>
      <c r="G104" s="28">
        <v>0</v>
      </c>
      <c r="H104" s="1">
        <v>0</v>
      </c>
      <c r="I104" s="1">
        <v>1</v>
      </c>
      <c r="J104" s="1">
        <v>1</v>
      </c>
      <c r="K104" s="1">
        <v>0</v>
      </c>
      <c r="L104" s="1">
        <v>0</v>
      </c>
      <c r="M104" s="1">
        <v>0</v>
      </c>
      <c r="N104" s="1">
        <v>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2:19" x14ac:dyDescent="0.35">
      <c r="B105" s="1">
        <v>3155</v>
      </c>
      <c r="C105" s="1" t="s">
        <v>22</v>
      </c>
      <c r="D105" s="1" t="s">
        <v>18</v>
      </c>
      <c r="E105" s="1">
        <v>0</v>
      </c>
      <c r="F105" s="28">
        <v>0</v>
      </c>
      <c r="G105" s="28">
        <v>0</v>
      </c>
      <c r="H105" s="1">
        <v>0</v>
      </c>
      <c r="I105" s="1">
        <v>3</v>
      </c>
      <c r="J105" s="1">
        <v>0</v>
      </c>
      <c r="K105" s="1">
        <v>0</v>
      </c>
      <c r="L105" s="1">
        <v>0</v>
      </c>
      <c r="M105" s="1">
        <v>0</v>
      </c>
      <c r="N105" s="1">
        <v>7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</row>
    <row r="106" spans="2:19" x14ac:dyDescent="0.35">
      <c r="B106" s="1">
        <v>3156</v>
      </c>
      <c r="C106" s="1" t="s">
        <v>23</v>
      </c>
      <c r="D106" s="1" t="s">
        <v>20</v>
      </c>
      <c r="E106" s="1">
        <v>0</v>
      </c>
      <c r="F106" s="28">
        <v>2</v>
      </c>
      <c r="G106" s="28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5</v>
      </c>
      <c r="O106" s="1">
        <v>0</v>
      </c>
      <c r="P106" s="1">
        <v>3</v>
      </c>
      <c r="Q106" s="1">
        <v>0</v>
      </c>
      <c r="R106" s="1">
        <v>0</v>
      </c>
      <c r="S106" s="1">
        <v>0</v>
      </c>
    </row>
    <row r="107" spans="2:19" x14ac:dyDescent="0.35">
      <c r="B107" s="1">
        <v>3157</v>
      </c>
      <c r="C107" s="1" t="s">
        <v>28</v>
      </c>
      <c r="D107" s="1" t="s">
        <v>18</v>
      </c>
      <c r="E107" s="1">
        <v>2</v>
      </c>
      <c r="F107" s="28">
        <v>0</v>
      </c>
      <c r="G107" s="28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5</v>
      </c>
      <c r="O107" s="1">
        <v>0</v>
      </c>
      <c r="P107" s="1">
        <v>3</v>
      </c>
      <c r="Q107" s="1">
        <v>0</v>
      </c>
      <c r="R107" s="1">
        <v>0</v>
      </c>
      <c r="S107" s="1">
        <v>0</v>
      </c>
    </row>
    <row r="108" spans="2:19" x14ac:dyDescent="0.35">
      <c r="B108" s="1">
        <v>3158</v>
      </c>
      <c r="C108" s="1" t="s">
        <v>19</v>
      </c>
      <c r="D108" s="1" t="s">
        <v>18</v>
      </c>
      <c r="E108" s="1">
        <v>0</v>
      </c>
      <c r="F108" s="28">
        <v>0</v>
      </c>
      <c r="G108" s="28">
        <v>1</v>
      </c>
      <c r="H108" s="1">
        <v>0</v>
      </c>
      <c r="I108" s="1">
        <v>0</v>
      </c>
      <c r="J108" s="1">
        <v>1</v>
      </c>
      <c r="K108" s="1">
        <v>0</v>
      </c>
      <c r="L108" s="1">
        <v>0</v>
      </c>
      <c r="M108" s="1">
        <v>0</v>
      </c>
      <c r="N108" s="1">
        <v>8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2:19" x14ac:dyDescent="0.35">
      <c r="B109" s="1">
        <v>3159</v>
      </c>
      <c r="C109" s="1" t="s">
        <v>22</v>
      </c>
      <c r="D109" s="1" t="s">
        <v>18</v>
      </c>
      <c r="E109" s="1">
        <v>0</v>
      </c>
      <c r="F109" s="28">
        <v>0</v>
      </c>
      <c r="G109" s="28">
        <v>0</v>
      </c>
      <c r="H109" s="1">
        <v>0</v>
      </c>
      <c r="I109" s="1">
        <v>3</v>
      </c>
      <c r="J109" s="1">
        <v>6</v>
      </c>
      <c r="K109" s="1">
        <v>0</v>
      </c>
      <c r="L109" s="1">
        <v>0</v>
      </c>
      <c r="M109" s="1">
        <v>1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</row>
    <row r="110" spans="2:19" x14ac:dyDescent="0.35">
      <c r="B110" s="1">
        <v>3160</v>
      </c>
      <c r="C110" s="1" t="s">
        <v>21</v>
      </c>
      <c r="D110" s="1" t="s">
        <v>18</v>
      </c>
      <c r="E110" s="1">
        <v>0</v>
      </c>
      <c r="F110" s="28">
        <v>0</v>
      </c>
      <c r="G110" s="28">
        <v>0</v>
      </c>
      <c r="H110" s="1">
        <v>0</v>
      </c>
      <c r="I110" s="1">
        <v>0</v>
      </c>
      <c r="J110" s="1">
        <v>2</v>
      </c>
      <c r="K110" s="1">
        <v>0</v>
      </c>
      <c r="L110" s="1">
        <v>3</v>
      </c>
      <c r="M110" s="1">
        <v>0</v>
      </c>
      <c r="N110" s="1">
        <v>5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</row>
    <row r="111" spans="2:19" x14ac:dyDescent="0.35">
      <c r="B111" s="1">
        <v>3161</v>
      </c>
      <c r="C111" s="1" t="s">
        <v>19</v>
      </c>
      <c r="D111" s="1" t="s">
        <v>20</v>
      </c>
      <c r="E111" s="1">
        <v>0</v>
      </c>
      <c r="F111" s="28">
        <v>0</v>
      </c>
      <c r="G111" s="28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8</v>
      </c>
      <c r="O111" s="1">
        <v>1</v>
      </c>
      <c r="P111" s="1">
        <v>1</v>
      </c>
      <c r="Q111" s="1">
        <v>0</v>
      </c>
      <c r="R111" s="1">
        <v>0</v>
      </c>
      <c r="S111" s="1">
        <v>0</v>
      </c>
    </row>
    <row r="112" spans="2:19" x14ac:dyDescent="0.35">
      <c r="B112" s="1">
        <v>3162</v>
      </c>
      <c r="C112" s="1" t="s">
        <v>24</v>
      </c>
      <c r="D112" s="1" t="s">
        <v>20</v>
      </c>
      <c r="E112" s="1">
        <v>0</v>
      </c>
      <c r="F112" s="28">
        <v>8</v>
      </c>
      <c r="G112" s="28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1</v>
      </c>
      <c r="O112" s="1">
        <v>0</v>
      </c>
      <c r="P112" s="1">
        <v>1</v>
      </c>
      <c r="Q112" s="1">
        <v>0</v>
      </c>
      <c r="R112" s="1">
        <v>0</v>
      </c>
      <c r="S112" s="1">
        <v>0</v>
      </c>
    </row>
    <row r="113" spans="2:19" x14ac:dyDescent="0.35">
      <c r="B113" s="1">
        <v>3163</v>
      </c>
      <c r="C113" s="1" t="s">
        <v>19</v>
      </c>
      <c r="D113" s="1" t="s">
        <v>20</v>
      </c>
      <c r="E113" s="1">
        <v>0</v>
      </c>
      <c r="F113" s="28">
        <v>5</v>
      </c>
      <c r="G113" s="28">
        <v>0</v>
      </c>
      <c r="H113" s="1">
        <v>0</v>
      </c>
      <c r="I113" s="1">
        <v>0</v>
      </c>
      <c r="J113" s="1">
        <v>0</v>
      </c>
      <c r="K113" s="1">
        <v>0</v>
      </c>
      <c r="L113" s="1">
        <v>4</v>
      </c>
      <c r="M113" s="1">
        <v>0</v>
      </c>
      <c r="N113" s="1">
        <v>0</v>
      </c>
      <c r="O113" s="1">
        <v>0</v>
      </c>
      <c r="P113" s="1">
        <v>0</v>
      </c>
      <c r="Q113" s="1">
        <v>1</v>
      </c>
      <c r="R113" s="1">
        <v>0</v>
      </c>
      <c r="S113" s="1">
        <v>0</v>
      </c>
    </row>
    <row r="114" spans="2:19" x14ac:dyDescent="0.35">
      <c r="B114" s="1">
        <v>3164</v>
      </c>
      <c r="C114" s="1" t="s">
        <v>22</v>
      </c>
      <c r="D114" s="1" t="s">
        <v>18</v>
      </c>
      <c r="E114" s="1">
        <v>0</v>
      </c>
      <c r="F114" s="28">
        <v>5</v>
      </c>
      <c r="G114" s="28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3</v>
      </c>
      <c r="O114" s="1">
        <v>2</v>
      </c>
      <c r="P114" s="1">
        <v>0</v>
      </c>
      <c r="Q114" s="1">
        <v>0</v>
      </c>
      <c r="R114" s="1">
        <v>0</v>
      </c>
      <c r="S114" s="1">
        <v>0</v>
      </c>
    </row>
    <row r="115" spans="2:19" x14ac:dyDescent="0.35">
      <c r="B115" s="1">
        <v>3165</v>
      </c>
      <c r="C115" s="1" t="s">
        <v>22</v>
      </c>
      <c r="D115" s="1" t="s">
        <v>18</v>
      </c>
      <c r="E115" s="1">
        <v>0</v>
      </c>
      <c r="F115" s="28">
        <v>8</v>
      </c>
      <c r="G115" s="28">
        <v>0</v>
      </c>
      <c r="H115" s="1">
        <v>0</v>
      </c>
      <c r="I115" s="1">
        <v>0</v>
      </c>
      <c r="J115" s="1">
        <v>1</v>
      </c>
      <c r="K115" s="1">
        <v>0</v>
      </c>
      <c r="L115" s="1">
        <v>0</v>
      </c>
      <c r="M115" s="1">
        <v>0</v>
      </c>
      <c r="N115" s="1">
        <v>1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</row>
    <row r="116" spans="2:19" x14ac:dyDescent="0.35">
      <c r="B116" s="1">
        <v>3166</v>
      </c>
      <c r="C116" s="1" t="s">
        <v>19</v>
      </c>
      <c r="D116" s="1" t="s">
        <v>20</v>
      </c>
      <c r="E116" s="1">
        <v>0</v>
      </c>
      <c r="F116" s="28">
        <v>7</v>
      </c>
      <c r="G116" s="28">
        <v>0</v>
      </c>
      <c r="H116" s="1">
        <v>0</v>
      </c>
      <c r="I116" s="1">
        <v>0</v>
      </c>
      <c r="J116" s="1">
        <v>2</v>
      </c>
      <c r="K116" s="1">
        <v>0</v>
      </c>
      <c r="L116" s="1">
        <v>0</v>
      </c>
      <c r="M116" s="1">
        <v>0</v>
      </c>
      <c r="N116" s="1">
        <v>0</v>
      </c>
      <c r="O116" s="1">
        <v>1</v>
      </c>
      <c r="P116" s="1">
        <v>0</v>
      </c>
      <c r="Q116" s="1">
        <v>0</v>
      </c>
      <c r="R116" s="1">
        <v>0</v>
      </c>
      <c r="S116" s="1">
        <v>0</v>
      </c>
    </row>
    <row r="117" spans="2:19" x14ac:dyDescent="0.35">
      <c r="B117" s="1">
        <v>3167</v>
      </c>
      <c r="C117" s="1" t="s">
        <v>17</v>
      </c>
      <c r="D117" s="1" t="s">
        <v>20</v>
      </c>
      <c r="E117" s="1">
        <v>1</v>
      </c>
      <c r="F117" s="28">
        <v>6</v>
      </c>
      <c r="G117" s="28">
        <v>0</v>
      </c>
      <c r="H117" s="1">
        <v>3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</row>
    <row r="118" spans="2:19" x14ac:dyDescent="0.35">
      <c r="B118" s="1">
        <v>3168</v>
      </c>
      <c r="C118" s="1" t="s">
        <v>23</v>
      </c>
      <c r="D118" s="1" t="s">
        <v>20</v>
      </c>
      <c r="E118" s="1">
        <v>0</v>
      </c>
      <c r="F118" s="28">
        <v>8</v>
      </c>
      <c r="G118" s="28">
        <v>0</v>
      </c>
      <c r="H118" s="1">
        <v>1</v>
      </c>
      <c r="I118" s="1">
        <v>0</v>
      </c>
      <c r="J118" s="1">
        <v>1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</row>
    <row r="119" spans="2:19" x14ac:dyDescent="0.35">
      <c r="B119" s="1">
        <v>3169</v>
      </c>
      <c r="C119" s="1" t="s">
        <v>17</v>
      </c>
      <c r="D119" s="1" t="s">
        <v>20</v>
      </c>
      <c r="E119" s="1">
        <v>0</v>
      </c>
      <c r="F119" s="28">
        <v>7</v>
      </c>
      <c r="G119" s="28">
        <v>0</v>
      </c>
      <c r="H119" s="1">
        <v>0</v>
      </c>
      <c r="I119" s="1">
        <v>0</v>
      </c>
      <c r="J119" s="1">
        <v>2</v>
      </c>
      <c r="K119" s="1">
        <v>0</v>
      </c>
      <c r="L119" s="1">
        <v>0</v>
      </c>
      <c r="M119" s="1">
        <v>0</v>
      </c>
      <c r="N119" s="1">
        <v>0</v>
      </c>
      <c r="O119" s="1">
        <v>1</v>
      </c>
      <c r="P119" s="1">
        <v>0</v>
      </c>
      <c r="Q119" s="1">
        <v>0</v>
      </c>
      <c r="R119" s="1">
        <v>0</v>
      </c>
      <c r="S119" s="1">
        <v>0</v>
      </c>
    </row>
    <row r="120" spans="2:19" x14ac:dyDescent="0.35">
      <c r="B120" s="1">
        <v>3170</v>
      </c>
      <c r="C120" s="1" t="s">
        <v>21</v>
      </c>
      <c r="D120" s="1" t="s">
        <v>20</v>
      </c>
      <c r="E120" s="1">
        <v>3</v>
      </c>
      <c r="F120" s="28">
        <v>0</v>
      </c>
      <c r="G120" s="28">
        <v>0</v>
      </c>
      <c r="H120" s="1">
        <v>6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1</v>
      </c>
      <c r="S120" s="1">
        <v>0</v>
      </c>
    </row>
    <row r="121" spans="2:19" x14ac:dyDescent="0.35">
      <c r="B121" s="1">
        <v>3171</v>
      </c>
      <c r="C121" s="1" t="s">
        <v>21</v>
      </c>
      <c r="D121" s="1" t="s">
        <v>18</v>
      </c>
      <c r="E121" s="1">
        <v>0</v>
      </c>
      <c r="F121" s="28">
        <v>8</v>
      </c>
      <c r="G121" s="28">
        <v>0</v>
      </c>
      <c r="H121" s="1">
        <v>1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1</v>
      </c>
      <c r="R121" s="1">
        <v>0</v>
      </c>
      <c r="S121" s="1">
        <v>0</v>
      </c>
    </row>
    <row r="122" spans="2:19" x14ac:dyDescent="0.35">
      <c r="B122" s="1">
        <v>3172</v>
      </c>
      <c r="C122" s="1" t="s">
        <v>17</v>
      </c>
      <c r="D122" s="1" t="s">
        <v>20</v>
      </c>
      <c r="E122" s="1">
        <v>0</v>
      </c>
      <c r="F122" s="28">
        <v>6</v>
      </c>
      <c r="G122" s="28">
        <v>0</v>
      </c>
      <c r="H122" s="1">
        <v>3</v>
      </c>
      <c r="I122" s="1">
        <v>1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</row>
    <row r="123" spans="2:19" x14ac:dyDescent="0.35">
      <c r="B123" s="1">
        <v>3173</v>
      </c>
      <c r="C123" s="1" t="s">
        <v>19</v>
      </c>
      <c r="D123" s="1" t="s">
        <v>20</v>
      </c>
      <c r="E123" s="1">
        <v>1</v>
      </c>
      <c r="F123" s="28">
        <v>4</v>
      </c>
      <c r="G123" s="28">
        <v>0</v>
      </c>
      <c r="H123" s="1">
        <v>5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</row>
    <row r="124" spans="2:19" x14ac:dyDescent="0.35">
      <c r="B124" s="1">
        <v>3174</v>
      </c>
      <c r="C124" s="1" t="s">
        <v>21</v>
      </c>
      <c r="D124" s="1" t="s">
        <v>20</v>
      </c>
      <c r="E124" s="1">
        <v>0</v>
      </c>
      <c r="F124" s="28">
        <v>7</v>
      </c>
      <c r="G124" s="28">
        <v>0</v>
      </c>
      <c r="H124" s="1">
        <v>2</v>
      </c>
      <c r="I124" s="1">
        <v>1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</row>
    <row r="125" spans="2:19" x14ac:dyDescent="0.35">
      <c r="B125" s="1">
        <v>3175</v>
      </c>
      <c r="C125" s="1" t="s">
        <v>21</v>
      </c>
      <c r="D125" s="1" t="s">
        <v>20</v>
      </c>
      <c r="E125" s="1">
        <v>0</v>
      </c>
      <c r="F125" s="28">
        <v>6</v>
      </c>
      <c r="G125" s="28">
        <v>0</v>
      </c>
      <c r="H125" s="1">
        <v>0</v>
      </c>
      <c r="I125" s="1">
        <v>2</v>
      </c>
      <c r="J125" s="1">
        <v>2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</row>
    <row r="126" spans="2:19" x14ac:dyDescent="0.35">
      <c r="B126" s="1">
        <v>3176</v>
      </c>
      <c r="C126" s="1" t="s">
        <v>23</v>
      </c>
      <c r="D126" s="1" t="s">
        <v>20</v>
      </c>
      <c r="E126" s="1">
        <v>0</v>
      </c>
      <c r="F126" s="28">
        <v>8</v>
      </c>
      <c r="G126" s="28">
        <v>0</v>
      </c>
      <c r="H126" s="1">
        <v>0</v>
      </c>
      <c r="I126" s="1">
        <v>1</v>
      </c>
      <c r="J126" s="1">
        <v>0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1</v>
      </c>
    </row>
    <row r="127" spans="2:19" x14ac:dyDescent="0.35">
      <c r="B127" s="1">
        <v>3177</v>
      </c>
      <c r="C127" s="1" t="s">
        <v>17</v>
      </c>
      <c r="D127" s="1" t="s">
        <v>20</v>
      </c>
      <c r="E127" s="1">
        <v>0</v>
      </c>
      <c r="F127" s="28">
        <v>6</v>
      </c>
      <c r="G127" s="28">
        <v>0</v>
      </c>
      <c r="H127" s="1">
        <v>3</v>
      </c>
      <c r="I127" s="1">
        <v>1</v>
      </c>
      <c r="J127" s="1">
        <v>0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</row>
    <row r="128" spans="2:19" x14ac:dyDescent="0.35">
      <c r="B128" s="1">
        <v>3178</v>
      </c>
      <c r="C128" s="1" t="s">
        <v>19</v>
      </c>
      <c r="D128" s="1" t="s">
        <v>18</v>
      </c>
      <c r="E128" s="1">
        <v>0</v>
      </c>
      <c r="F128" s="28">
        <v>7</v>
      </c>
      <c r="G128" s="28">
        <v>0</v>
      </c>
      <c r="H128" s="1">
        <v>2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1</v>
      </c>
      <c r="R128" s="1">
        <v>0</v>
      </c>
      <c r="S128" s="1">
        <v>0</v>
      </c>
    </row>
    <row r="129" spans="2:19" x14ac:dyDescent="0.35">
      <c r="B129" s="1">
        <v>3179</v>
      </c>
      <c r="C129" s="1" t="s">
        <v>19</v>
      </c>
      <c r="D129" s="1" t="s">
        <v>20</v>
      </c>
      <c r="E129" s="1">
        <v>0</v>
      </c>
      <c r="F129" s="28">
        <v>7</v>
      </c>
      <c r="G129" s="28">
        <v>0</v>
      </c>
      <c r="H129" s="1">
        <v>0</v>
      </c>
      <c r="I129" s="1">
        <v>2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1</v>
      </c>
      <c r="Q129" s="1">
        <v>0</v>
      </c>
      <c r="R129" s="1">
        <v>0</v>
      </c>
      <c r="S129" s="1">
        <v>0</v>
      </c>
    </row>
    <row r="130" spans="2:19" x14ac:dyDescent="0.35">
      <c r="B130" s="1">
        <v>3180</v>
      </c>
      <c r="C130" s="1" t="s">
        <v>17</v>
      </c>
      <c r="D130" s="1" t="s">
        <v>20</v>
      </c>
      <c r="E130" s="1">
        <v>0</v>
      </c>
      <c r="F130" s="28">
        <v>7</v>
      </c>
      <c r="G130" s="28">
        <v>0</v>
      </c>
      <c r="H130" s="1">
        <v>3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</row>
    <row r="131" spans="2:19" x14ac:dyDescent="0.35">
      <c r="B131" s="1">
        <v>3181</v>
      </c>
      <c r="C131" s="1" t="s">
        <v>23</v>
      </c>
      <c r="D131" s="1" t="s">
        <v>20</v>
      </c>
      <c r="E131" s="1">
        <v>0</v>
      </c>
      <c r="F131" s="28">
        <v>6</v>
      </c>
      <c r="G131" s="28">
        <v>0</v>
      </c>
      <c r="H131" s="1">
        <v>1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3</v>
      </c>
      <c r="P131" s="1">
        <v>0</v>
      </c>
      <c r="Q131" s="1">
        <v>0</v>
      </c>
      <c r="R131" s="1">
        <v>0</v>
      </c>
      <c r="S131" s="1">
        <v>0</v>
      </c>
    </row>
    <row r="132" spans="2:19" x14ac:dyDescent="0.35">
      <c r="B132" s="1">
        <v>3182</v>
      </c>
      <c r="C132" s="1" t="s">
        <v>19</v>
      </c>
      <c r="D132" s="1" t="s">
        <v>18</v>
      </c>
      <c r="E132" s="1">
        <v>0</v>
      </c>
      <c r="F132" s="28">
        <v>0</v>
      </c>
      <c r="G132" s="28">
        <v>0</v>
      </c>
      <c r="H132" s="1">
        <v>0</v>
      </c>
      <c r="I132" s="1">
        <v>0</v>
      </c>
      <c r="J132" s="1">
        <v>4</v>
      </c>
      <c r="K132" s="1">
        <v>0</v>
      </c>
      <c r="L132" s="1">
        <v>0</v>
      </c>
      <c r="M132" s="1">
        <v>0</v>
      </c>
      <c r="N132" s="1">
        <v>1</v>
      </c>
      <c r="O132" s="1">
        <v>0</v>
      </c>
      <c r="P132" s="1">
        <v>5</v>
      </c>
      <c r="Q132" s="1">
        <v>0</v>
      </c>
      <c r="R132" s="1">
        <v>0</v>
      </c>
      <c r="S132" s="1">
        <v>0</v>
      </c>
    </row>
    <row r="133" spans="2:19" x14ac:dyDescent="0.35">
      <c r="B133" s="1">
        <v>3183</v>
      </c>
      <c r="C133" s="1" t="s">
        <v>17</v>
      </c>
      <c r="D133" s="1" t="s">
        <v>20</v>
      </c>
      <c r="E133" s="1">
        <v>0</v>
      </c>
      <c r="F133" s="28">
        <v>0</v>
      </c>
      <c r="G133" s="28">
        <v>0</v>
      </c>
      <c r="H133" s="1">
        <v>0</v>
      </c>
      <c r="I133" s="1">
        <v>7</v>
      </c>
      <c r="J133" s="1">
        <v>0</v>
      </c>
      <c r="K133" s="1">
        <v>0</v>
      </c>
      <c r="L133" s="1">
        <v>0</v>
      </c>
      <c r="M133" s="1">
        <v>2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1</v>
      </c>
    </row>
    <row r="134" spans="2:19" x14ac:dyDescent="0.35">
      <c r="B134" s="1">
        <v>3184</v>
      </c>
      <c r="C134" s="1" t="s">
        <v>22</v>
      </c>
      <c r="D134" s="1" t="s">
        <v>20</v>
      </c>
      <c r="E134" s="1">
        <v>0</v>
      </c>
      <c r="F134" s="28">
        <v>0</v>
      </c>
      <c r="G134" s="28">
        <v>0</v>
      </c>
      <c r="H134" s="1">
        <v>0</v>
      </c>
      <c r="I134" s="1">
        <v>2</v>
      </c>
      <c r="J134" s="1">
        <v>1</v>
      </c>
      <c r="K134" s="1">
        <v>0</v>
      </c>
      <c r="L134" s="1">
        <v>0</v>
      </c>
      <c r="M134" s="1">
        <v>7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2:19" x14ac:dyDescent="0.35">
      <c r="B135" s="1">
        <v>3185</v>
      </c>
      <c r="C135" s="1" t="s">
        <v>17</v>
      </c>
      <c r="D135" s="1" t="s">
        <v>18</v>
      </c>
      <c r="E135" s="1">
        <v>0</v>
      </c>
      <c r="F135" s="28">
        <v>0</v>
      </c>
      <c r="G135" s="28">
        <v>0</v>
      </c>
      <c r="H135" s="1">
        <v>0</v>
      </c>
      <c r="I135" s="1">
        <v>0</v>
      </c>
      <c r="J135" s="1">
        <v>4</v>
      </c>
      <c r="K135" s="1">
        <v>0</v>
      </c>
      <c r="L135" s="1">
        <v>1</v>
      </c>
      <c r="M135" s="1">
        <v>0</v>
      </c>
      <c r="N135" s="1">
        <v>0</v>
      </c>
      <c r="O135" s="1">
        <v>0</v>
      </c>
      <c r="P135" s="1">
        <v>5</v>
      </c>
      <c r="Q135" s="1">
        <v>0</v>
      </c>
      <c r="R135" s="1">
        <v>0</v>
      </c>
      <c r="S135" s="1">
        <v>0</v>
      </c>
    </row>
    <row r="136" spans="2:19" x14ac:dyDescent="0.35">
      <c r="B136" s="1">
        <v>3186</v>
      </c>
      <c r="C136" s="1" t="s">
        <v>17</v>
      </c>
      <c r="D136" s="1" t="s">
        <v>20</v>
      </c>
      <c r="E136" s="1">
        <v>0</v>
      </c>
      <c r="F136" s="28">
        <v>1</v>
      </c>
      <c r="G136" s="28">
        <v>0</v>
      </c>
      <c r="H136" s="1">
        <v>0</v>
      </c>
      <c r="I136" s="1">
        <v>8</v>
      </c>
      <c r="J136" s="1">
        <v>0</v>
      </c>
      <c r="K136" s="1">
        <v>0</v>
      </c>
      <c r="L136" s="1">
        <v>0</v>
      </c>
      <c r="M136" s="1">
        <v>1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</row>
    <row r="137" spans="2:19" x14ac:dyDescent="0.35">
      <c r="B137" s="1">
        <v>3187</v>
      </c>
      <c r="C137" s="1" t="s">
        <v>17</v>
      </c>
      <c r="D137" s="1" t="s">
        <v>20</v>
      </c>
      <c r="E137" s="1">
        <v>0</v>
      </c>
      <c r="F137" s="28">
        <v>1</v>
      </c>
      <c r="G137" s="28">
        <v>0</v>
      </c>
      <c r="H137" s="1">
        <v>0</v>
      </c>
      <c r="I137" s="1">
        <v>8</v>
      </c>
      <c r="J137" s="1">
        <v>0</v>
      </c>
      <c r="K137" s="1">
        <v>0</v>
      </c>
      <c r="L137" s="1">
        <v>0</v>
      </c>
      <c r="M137" s="1">
        <v>1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</row>
    <row r="138" spans="2:19" x14ac:dyDescent="0.35">
      <c r="B138" s="1">
        <v>3188</v>
      </c>
      <c r="C138" s="1" t="s">
        <v>17</v>
      </c>
      <c r="D138" s="1" t="s">
        <v>20</v>
      </c>
      <c r="E138" s="1">
        <v>0</v>
      </c>
      <c r="F138" s="28">
        <v>0</v>
      </c>
      <c r="G138" s="28">
        <v>0</v>
      </c>
      <c r="H138" s="1">
        <v>1</v>
      </c>
      <c r="I138" s="1">
        <v>8</v>
      </c>
      <c r="J138" s="1">
        <v>1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</row>
    <row r="139" spans="2:19" x14ac:dyDescent="0.35">
      <c r="B139" s="1">
        <v>3189</v>
      </c>
      <c r="C139" s="1" t="s">
        <v>19</v>
      </c>
      <c r="D139" s="1" t="s">
        <v>18</v>
      </c>
      <c r="E139" s="1">
        <v>0</v>
      </c>
      <c r="F139" s="28">
        <v>0</v>
      </c>
      <c r="G139" s="28">
        <v>0</v>
      </c>
      <c r="H139" s="1">
        <v>0</v>
      </c>
      <c r="I139" s="1">
        <v>1</v>
      </c>
      <c r="J139" s="1">
        <v>2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7</v>
      </c>
      <c r="Q139" s="1">
        <v>0</v>
      </c>
      <c r="R139" s="1">
        <v>0</v>
      </c>
      <c r="S139" s="1">
        <v>0</v>
      </c>
    </row>
    <row r="140" spans="2:19" x14ac:dyDescent="0.35">
      <c r="B140" s="1">
        <v>3190</v>
      </c>
      <c r="C140" s="1" t="s">
        <v>17</v>
      </c>
      <c r="D140" s="1" t="s">
        <v>18</v>
      </c>
      <c r="E140" s="1">
        <v>0</v>
      </c>
      <c r="F140" s="28">
        <v>0</v>
      </c>
      <c r="G140" s="28">
        <v>0</v>
      </c>
      <c r="H140" s="1">
        <v>2</v>
      </c>
      <c r="I140" s="1">
        <v>7</v>
      </c>
      <c r="J140" s="1">
        <v>1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</row>
    <row r="141" spans="2:19" x14ac:dyDescent="0.35">
      <c r="B141" s="1">
        <v>3191</v>
      </c>
      <c r="C141" s="1" t="s">
        <v>19</v>
      </c>
      <c r="D141" s="1" t="s">
        <v>18</v>
      </c>
      <c r="E141" s="1">
        <v>0</v>
      </c>
      <c r="F141" s="28">
        <v>0</v>
      </c>
      <c r="G141" s="28">
        <v>0</v>
      </c>
      <c r="H141" s="1">
        <v>0</v>
      </c>
      <c r="I141" s="1">
        <v>2</v>
      </c>
      <c r="J141" s="1">
        <v>0</v>
      </c>
      <c r="K141" s="1">
        <v>0</v>
      </c>
      <c r="L141" s="1">
        <v>0</v>
      </c>
      <c r="M141" s="1">
        <v>7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1</v>
      </c>
    </row>
    <row r="142" spans="2:19" x14ac:dyDescent="0.35">
      <c r="B142" s="1">
        <v>3192</v>
      </c>
      <c r="C142" s="1" t="s">
        <v>19</v>
      </c>
      <c r="D142" s="1" t="s">
        <v>20</v>
      </c>
      <c r="E142" s="1">
        <v>0</v>
      </c>
      <c r="F142" s="28">
        <v>0</v>
      </c>
      <c r="G142" s="28">
        <v>0</v>
      </c>
      <c r="H142" s="1">
        <v>0</v>
      </c>
      <c r="I142" s="1">
        <v>7</v>
      </c>
      <c r="J142" s="1">
        <v>0</v>
      </c>
      <c r="K142" s="1">
        <v>0</v>
      </c>
      <c r="L142" s="1">
        <v>0</v>
      </c>
      <c r="M142" s="1">
        <v>2</v>
      </c>
      <c r="N142" s="1">
        <v>0</v>
      </c>
      <c r="O142" s="1">
        <v>0</v>
      </c>
      <c r="P142" s="1">
        <v>1</v>
      </c>
      <c r="Q142" s="1">
        <v>0</v>
      </c>
      <c r="R142" s="1">
        <v>0</v>
      </c>
      <c r="S142" s="1">
        <v>0</v>
      </c>
    </row>
    <row r="143" spans="2:19" x14ac:dyDescent="0.35">
      <c r="B143" s="1">
        <v>3193</v>
      </c>
      <c r="C143" s="1" t="s">
        <v>22</v>
      </c>
      <c r="D143" s="1" t="s">
        <v>18</v>
      </c>
      <c r="E143" s="1">
        <v>0</v>
      </c>
      <c r="F143" s="28">
        <v>0</v>
      </c>
      <c r="G143" s="28">
        <v>0</v>
      </c>
      <c r="H143" s="1">
        <v>0</v>
      </c>
      <c r="I143" s="1">
        <v>9</v>
      </c>
      <c r="J143" s="1">
        <v>0</v>
      </c>
      <c r="K143" s="1">
        <v>0</v>
      </c>
      <c r="L143" s="1">
        <v>0</v>
      </c>
      <c r="M143" s="1">
        <v>1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</row>
    <row r="144" spans="2:19" x14ac:dyDescent="0.35">
      <c r="B144" s="1">
        <v>3194</v>
      </c>
      <c r="C144" s="1" t="s">
        <v>21</v>
      </c>
      <c r="D144" s="1" t="s">
        <v>18</v>
      </c>
      <c r="E144" s="1">
        <v>0</v>
      </c>
      <c r="F144" s="28">
        <v>0</v>
      </c>
      <c r="G144" s="28">
        <v>0</v>
      </c>
      <c r="H144" s="1">
        <v>1</v>
      </c>
      <c r="I144" s="1">
        <v>8</v>
      </c>
      <c r="J144" s="1">
        <v>1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</row>
    <row r="145" spans="2:19" x14ac:dyDescent="0.35">
      <c r="B145" s="1">
        <v>3195</v>
      </c>
      <c r="C145" s="1" t="s">
        <v>22</v>
      </c>
      <c r="D145" s="1" t="s">
        <v>18</v>
      </c>
      <c r="E145" s="1">
        <v>0</v>
      </c>
      <c r="F145" s="28">
        <v>0</v>
      </c>
      <c r="G145" s="28">
        <v>0</v>
      </c>
      <c r="H145" s="1">
        <v>0</v>
      </c>
      <c r="I145" s="1">
        <v>6</v>
      </c>
      <c r="J145" s="1">
        <v>1</v>
      </c>
      <c r="K145" s="1">
        <v>0</v>
      </c>
      <c r="L145" s="1">
        <v>0</v>
      </c>
      <c r="M145" s="1">
        <v>0</v>
      </c>
      <c r="N145" s="1">
        <v>3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</row>
    <row r="146" spans="2:19" x14ac:dyDescent="0.35">
      <c r="B146" s="1">
        <v>3196</v>
      </c>
      <c r="C146" s="1" t="s">
        <v>19</v>
      </c>
      <c r="D146" s="1" t="s">
        <v>18</v>
      </c>
      <c r="E146" s="1">
        <v>0</v>
      </c>
      <c r="F146" s="28">
        <v>0</v>
      </c>
      <c r="G146" s="28">
        <v>0</v>
      </c>
      <c r="H146" s="1">
        <v>0</v>
      </c>
      <c r="I146" s="1">
        <v>1</v>
      </c>
      <c r="J146" s="1">
        <v>1</v>
      </c>
      <c r="K146" s="1">
        <v>0</v>
      </c>
      <c r="L146" s="1">
        <v>0</v>
      </c>
      <c r="M146" s="1">
        <v>8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</row>
    <row r="147" spans="2:19" x14ac:dyDescent="0.35">
      <c r="B147" s="1">
        <v>3197</v>
      </c>
      <c r="C147" s="1" t="s">
        <v>17</v>
      </c>
      <c r="D147" s="1" t="s">
        <v>20</v>
      </c>
      <c r="E147" s="1">
        <v>0</v>
      </c>
      <c r="F147" s="28">
        <v>0</v>
      </c>
      <c r="G147" s="28">
        <v>0</v>
      </c>
      <c r="H147" s="1">
        <v>0</v>
      </c>
      <c r="I147" s="1">
        <v>4</v>
      </c>
      <c r="J147" s="1">
        <v>0</v>
      </c>
      <c r="K147" s="1">
        <v>0</v>
      </c>
      <c r="L147" s="1">
        <v>0</v>
      </c>
      <c r="M147" s="1">
        <v>5</v>
      </c>
      <c r="N147" s="1">
        <v>1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</row>
    <row r="148" spans="2:19" x14ac:dyDescent="0.35">
      <c r="B148" s="1">
        <v>3198</v>
      </c>
      <c r="C148" s="1" t="s">
        <v>19</v>
      </c>
      <c r="D148" s="1" t="s">
        <v>18</v>
      </c>
      <c r="E148" s="1">
        <v>0</v>
      </c>
      <c r="F148" s="28">
        <v>0</v>
      </c>
      <c r="G148" s="28">
        <v>0</v>
      </c>
      <c r="H148" s="1">
        <v>0</v>
      </c>
      <c r="I148" s="1">
        <v>6</v>
      </c>
      <c r="J148" s="1">
        <v>1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3</v>
      </c>
      <c r="Q148" s="1">
        <v>0</v>
      </c>
      <c r="R148" s="1">
        <v>0</v>
      </c>
      <c r="S148" s="1">
        <v>0</v>
      </c>
    </row>
    <row r="149" spans="2:19" x14ac:dyDescent="0.35">
      <c r="B149" s="1">
        <v>3199</v>
      </c>
      <c r="C149" s="1" t="s">
        <v>19</v>
      </c>
      <c r="D149" s="1" t="s">
        <v>18</v>
      </c>
      <c r="E149" s="1">
        <v>0</v>
      </c>
      <c r="F149" s="28">
        <v>0</v>
      </c>
      <c r="G149" s="28">
        <v>0</v>
      </c>
      <c r="H149" s="1">
        <v>0</v>
      </c>
      <c r="I149" s="1">
        <v>10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</row>
    <row r="150" spans="2:19" x14ac:dyDescent="0.35">
      <c r="B150" s="1">
        <v>3200</v>
      </c>
      <c r="C150" s="1" t="s">
        <v>21</v>
      </c>
      <c r="D150" s="1" t="s">
        <v>20</v>
      </c>
      <c r="E150" s="1">
        <v>0</v>
      </c>
      <c r="F150" s="28">
        <v>0</v>
      </c>
      <c r="G150" s="28">
        <v>0</v>
      </c>
      <c r="H150" s="1">
        <v>0</v>
      </c>
      <c r="I150" s="1">
        <v>1</v>
      </c>
      <c r="J150" s="1">
        <v>1</v>
      </c>
      <c r="K150" s="1">
        <v>0</v>
      </c>
      <c r="L150" s="1">
        <v>0</v>
      </c>
      <c r="M150" s="1">
        <v>8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</row>
    <row r="151" spans="2:19" x14ac:dyDescent="0.35">
      <c r="B151" s="1">
        <v>3201</v>
      </c>
      <c r="C151" s="1" t="s">
        <v>17</v>
      </c>
      <c r="D151" s="1" t="s">
        <v>18</v>
      </c>
      <c r="E151" s="1">
        <v>0</v>
      </c>
      <c r="F151" s="28">
        <v>0</v>
      </c>
      <c r="G151" s="28">
        <v>0</v>
      </c>
      <c r="H151" s="1">
        <v>0</v>
      </c>
      <c r="I151" s="1">
        <v>6</v>
      </c>
      <c r="J151" s="1">
        <v>1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3</v>
      </c>
      <c r="Q151" s="1">
        <v>0</v>
      </c>
      <c r="R151" s="1">
        <v>0</v>
      </c>
      <c r="S151" s="1">
        <v>0</v>
      </c>
    </row>
    <row r="152" spans="2:19" x14ac:dyDescent="0.35">
      <c r="B152" s="1">
        <v>3202</v>
      </c>
      <c r="C152" s="1" t="s">
        <v>26</v>
      </c>
      <c r="D152" s="1" t="s">
        <v>20</v>
      </c>
      <c r="E152" s="1">
        <v>1</v>
      </c>
      <c r="F152" s="28">
        <v>0</v>
      </c>
      <c r="G152" s="28">
        <v>3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6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2:19" x14ac:dyDescent="0.35">
      <c r="B153" s="1">
        <v>3203</v>
      </c>
      <c r="C153" s="1" t="s">
        <v>26</v>
      </c>
      <c r="D153" s="1" t="s">
        <v>20</v>
      </c>
      <c r="E153" s="1">
        <v>0</v>
      </c>
      <c r="F153" s="28">
        <v>0</v>
      </c>
      <c r="G153" s="28">
        <v>0</v>
      </c>
      <c r="H153" s="1">
        <v>8</v>
      </c>
      <c r="I153" s="1">
        <v>0</v>
      </c>
      <c r="J153" s="1">
        <v>0</v>
      </c>
      <c r="K153" s="1">
        <v>1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1</v>
      </c>
    </row>
    <row r="154" spans="2:19" x14ac:dyDescent="0.35">
      <c r="B154" s="1">
        <v>3204</v>
      </c>
      <c r="C154" s="1" t="s">
        <v>26</v>
      </c>
      <c r="D154" s="1" t="s">
        <v>20</v>
      </c>
      <c r="E154" s="1">
        <v>0</v>
      </c>
      <c r="F154" s="28">
        <v>1</v>
      </c>
      <c r="G154" s="28">
        <v>1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8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</row>
    <row r="155" spans="2:19" x14ac:dyDescent="0.35">
      <c r="B155" s="1">
        <v>3205</v>
      </c>
      <c r="C155" s="1" t="s">
        <v>19</v>
      </c>
      <c r="D155" s="1" t="s">
        <v>20</v>
      </c>
      <c r="E155" s="1">
        <v>0</v>
      </c>
      <c r="F155" s="28">
        <v>0</v>
      </c>
      <c r="G155" s="28">
        <v>0</v>
      </c>
      <c r="H155" s="1">
        <v>6</v>
      </c>
      <c r="I155" s="1">
        <v>0</v>
      </c>
      <c r="J155" s="1">
        <v>0</v>
      </c>
      <c r="K155" s="1">
        <v>4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</row>
    <row r="156" spans="2:19" x14ac:dyDescent="0.35">
      <c r="B156" s="1">
        <v>3206</v>
      </c>
      <c r="C156" s="1" t="s">
        <v>19</v>
      </c>
      <c r="D156" s="1" t="s">
        <v>18</v>
      </c>
      <c r="E156" s="1">
        <v>0</v>
      </c>
      <c r="F156" s="28">
        <v>0</v>
      </c>
      <c r="G156" s="28">
        <v>3</v>
      </c>
      <c r="H156" s="1">
        <v>0</v>
      </c>
      <c r="I156" s="1">
        <v>0</v>
      </c>
      <c r="J156" s="1">
        <v>2</v>
      </c>
      <c r="K156" s="1">
        <v>0</v>
      </c>
      <c r="L156" s="1">
        <v>0</v>
      </c>
      <c r="M156" s="1">
        <v>0</v>
      </c>
      <c r="N156" s="1">
        <v>5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</row>
    <row r="157" spans="2:19" x14ac:dyDescent="0.35">
      <c r="B157" s="1">
        <v>3207</v>
      </c>
      <c r="C157" s="1" t="s">
        <v>22</v>
      </c>
      <c r="D157" s="1" t="s">
        <v>18</v>
      </c>
      <c r="E157" s="1">
        <v>0</v>
      </c>
      <c r="F157" s="28">
        <v>0</v>
      </c>
      <c r="G157" s="28">
        <v>3</v>
      </c>
      <c r="H157" s="1">
        <v>0</v>
      </c>
      <c r="I157" s="1">
        <v>2</v>
      </c>
      <c r="J157" s="1">
        <v>0</v>
      </c>
      <c r="K157" s="1">
        <v>0</v>
      </c>
      <c r="L157" s="1">
        <v>0</v>
      </c>
      <c r="M157" s="1">
        <v>0</v>
      </c>
      <c r="N157" s="1">
        <v>5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</row>
    <row r="158" spans="2:19" x14ac:dyDescent="0.35">
      <c r="B158" s="1">
        <v>3208</v>
      </c>
      <c r="C158" s="1" t="s">
        <v>17</v>
      </c>
      <c r="D158" s="1" t="s">
        <v>18</v>
      </c>
      <c r="E158" s="1">
        <v>2</v>
      </c>
      <c r="F158" s="28">
        <v>0</v>
      </c>
      <c r="G158" s="28">
        <v>3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5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</row>
    <row r="159" spans="2:19" x14ac:dyDescent="0.35">
      <c r="B159" s="1">
        <v>3209</v>
      </c>
      <c r="C159" s="1" t="s">
        <v>19</v>
      </c>
      <c r="D159" s="1" t="s">
        <v>20</v>
      </c>
      <c r="E159" s="1">
        <v>0</v>
      </c>
      <c r="F159" s="28">
        <v>2</v>
      </c>
      <c r="G159" s="28">
        <v>0</v>
      </c>
      <c r="H159" s="1">
        <v>5</v>
      </c>
      <c r="I159" s="1">
        <v>0</v>
      </c>
      <c r="J159" s="1">
        <v>0</v>
      </c>
      <c r="K159" s="1">
        <v>3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</row>
    <row r="160" spans="2:19" x14ac:dyDescent="0.35">
      <c r="B160" s="1">
        <v>3210</v>
      </c>
      <c r="C160" s="1" t="s">
        <v>19</v>
      </c>
      <c r="D160" s="1" t="s">
        <v>18</v>
      </c>
      <c r="E160" s="1">
        <v>0</v>
      </c>
      <c r="F160" s="28">
        <v>0</v>
      </c>
      <c r="G160" s="28">
        <v>2</v>
      </c>
      <c r="H160" s="1">
        <v>0</v>
      </c>
      <c r="I160" s="1">
        <v>1</v>
      </c>
      <c r="J160" s="1">
        <v>0</v>
      </c>
      <c r="K160" s="1">
        <v>0</v>
      </c>
      <c r="L160" s="1">
        <v>0</v>
      </c>
      <c r="M160" s="1">
        <v>0</v>
      </c>
      <c r="N160" s="1">
        <v>7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2:19" x14ac:dyDescent="0.35">
      <c r="B161" s="1">
        <v>3211</v>
      </c>
      <c r="C161" s="1" t="s">
        <v>17</v>
      </c>
      <c r="D161" s="1" t="s">
        <v>20</v>
      </c>
      <c r="E161" s="1">
        <v>0</v>
      </c>
      <c r="F161" s="28">
        <v>0</v>
      </c>
      <c r="G161" s="28">
        <v>0</v>
      </c>
      <c r="H161" s="1">
        <v>1</v>
      </c>
      <c r="I161" s="1">
        <v>0</v>
      </c>
      <c r="J161" s="1">
        <v>1</v>
      </c>
      <c r="K161" s="1">
        <v>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</row>
    <row r="162" spans="2:19" x14ac:dyDescent="0.35">
      <c r="B162" s="1">
        <v>3212</v>
      </c>
      <c r="C162" s="1" t="s">
        <v>19</v>
      </c>
      <c r="D162" s="1" t="s">
        <v>18</v>
      </c>
      <c r="E162" s="1">
        <v>0</v>
      </c>
      <c r="F162" s="28">
        <v>0</v>
      </c>
      <c r="G162" s="28">
        <v>3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5</v>
      </c>
      <c r="O162" s="1">
        <v>2</v>
      </c>
      <c r="P162" s="1">
        <v>0</v>
      </c>
      <c r="Q162" s="1">
        <v>0</v>
      </c>
      <c r="R162" s="1">
        <v>0</v>
      </c>
      <c r="S162" s="1">
        <v>0</v>
      </c>
    </row>
    <row r="163" spans="2:19" x14ac:dyDescent="0.35">
      <c r="B163" s="1">
        <v>3213</v>
      </c>
      <c r="C163" s="1" t="s">
        <v>23</v>
      </c>
      <c r="D163" s="1" t="s">
        <v>20</v>
      </c>
      <c r="E163" s="1">
        <v>0</v>
      </c>
      <c r="F163" s="28">
        <v>0</v>
      </c>
      <c r="G163" s="28">
        <v>0</v>
      </c>
      <c r="H163" s="1">
        <v>0</v>
      </c>
      <c r="I163" s="1">
        <v>0</v>
      </c>
      <c r="J163" s="1">
        <v>1</v>
      </c>
      <c r="K163" s="1">
        <v>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1</v>
      </c>
    </row>
    <row r="164" spans="2:19" x14ac:dyDescent="0.35">
      <c r="B164" s="1">
        <v>3214</v>
      </c>
      <c r="C164" s="1" t="s">
        <v>23</v>
      </c>
      <c r="D164" s="1" t="s">
        <v>20</v>
      </c>
      <c r="E164" s="1">
        <v>2</v>
      </c>
      <c r="F164" s="28">
        <v>0</v>
      </c>
      <c r="G164" s="28">
        <v>1</v>
      </c>
      <c r="H164" s="1">
        <v>0</v>
      </c>
      <c r="I164" s="1">
        <v>0</v>
      </c>
      <c r="J164" s="1">
        <v>0</v>
      </c>
      <c r="K164" s="1">
        <v>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</row>
    <row r="165" spans="2:19" x14ac:dyDescent="0.35">
      <c r="B165" s="1">
        <v>3215</v>
      </c>
      <c r="C165" s="1" t="s">
        <v>19</v>
      </c>
      <c r="D165" s="1" t="s">
        <v>18</v>
      </c>
      <c r="E165" s="1">
        <v>0</v>
      </c>
      <c r="F165" s="28">
        <v>0</v>
      </c>
      <c r="G165" s="28">
        <v>0</v>
      </c>
      <c r="H165" s="1">
        <v>0</v>
      </c>
      <c r="I165" s="1">
        <v>0</v>
      </c>
      <c r="J165" s="1">
        <v>0</v>
      </c>
      <c r="K165" s="1">
        <v>5</v>
      </c>
      <c r="L165" s="1">
        <v>0</v>
      </c>
      <c r="M165" s="1">
        <v>0</v>
      </c>
      <c r="N165" s="1">
        <v>3</v>
      </c>
      <c r="O165" s="1">
        <v>0</v>
      </c>
      <c r="P165" s="1">
        <v>0</v>
      </c>
      <c r="Q165" s="1">
        <v>0</v>
      </c>
      <c r="R165" s="1">
        <v>2</v>
      </c>
      <c r="S165" s="1">
        <v>0</v>
      </c>
    </row>
    <row r="166" spans="2:19" x14ac:dyDescent="0.35">
      <c r="B166" s="1">
        <v>3216</v>
      </c>
      <c r="C166" s="1" t="s">
        <v>17</v>
      </c>
      <c r="D166" s="1" t="s">
        <v>20</v>
      </c>
      <c r="E166" s="1">
        <v>0</v>
      </c>
      <c r="F166" s="28">
        <v>0</v>
      </c>
      <c r="G166" s="28">
        <v>0</v>
      </c>
      <c r="H166" s="1">
        <v>0</v>
      </c>
      <c r="I166" s="1">
        <v>10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</row>
    <row r="167" spans="2:19" x14ac:dyDescent="0.35">
      <c r="B167" s="1">
        <v>3217</v>
      </c>
      <c r="C167" s="1" t="s">
        <v>17</v>
      </c>
      <c r="D167" s="1" t="s">
        <v>18</v>
      </c>
      <c r="E167" s="1">
        <v>0</v>
      </c>
      <c r="F167" s="28">
        <v>0</v>
      </c>
      <c r="G167" s="28">
        <v>0</v>
      </c>
      <c r="H167" s="1">
        <v>0</v>
      </c>
      <c r="I167" s="1">
        <v>0</v>
      </c>
      <c r="J167" s="1">
        <v>2</v>
      </c>
      <c r="K167" s="1">
        <v>2</v>
      </c>
      <c r="L167" s="1">
        <v>0</v>
      </c>
      <c r="M167" s="1">
        <v>0</v>
      </c>
      <c r="N167" s="1">
        <v>6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</row>
    <row r="168" spans="2:19" x14ac:dyDescent="0.35">
      <c r="B168" s="1">
        <v>3218</v>
      </c>
      <c r="C168" s="1" t="s">
        <v>21</v>
      </c>
      <c r="D168" s="1" t="s">
        <v>20</v>
      </c>
      <c r="E168" s="1">
        <v>0</v>
      </c>
      <c r="F168" s="28">
        <v>0</v>
      </c>
      <c r="G168" s="28">
        <v>0</v>
      </c>
      <c r="H168" s="1">
        <v>0</v>
      </c>
      <c r="I168" s="1">
        <v>10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</row>
    <row r="169" spans="2:19" x14ac:dyDescent="0.35">
      <c r="B169" s="1">
        <v>3219</v>
      </c>
      <c r="C169" s="1" t="s">
        <v>21</v>
      </c>
      <c r="D169" s="1" t="s">
        <v>18</v>
      </c>
      <c r="E169" s="1">
        <v>0</v>
      </c>
      <c r="F169" s="28">
        <v>0</v>
      </c>
      <c r="G169" s="28">
        <v>1</v>
      </c>
      <c r="H169" s="1">
        <v>0</v>
      </c>
      <c r="I169" s="1">
        <v>0</v>
      </c>
      <c r="J169" s="1">
        <v>0</v>
      </c>
      <c r="K169" s="1">
        <v>0</v>
      </c>
      <c r="L169" s="1">
        <v>4</v>
      </c>
      <c r="M169" s="1">
        <v>0</v>
      </c>
      <c r="N169" s="1">
        <v>5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</row>
    <row r="170" spans="2:19" x14ac:dyDescent="0.35">
      <c r="B170" s="1">
        <v>3220</v>
      </c>
      <c r="C170" s="1" t="s">
        <v>19</v>
      </c>
      <c r="D170" s="1" t="s">
        <v>18</v>
      </c>
      <c r="E170" s="1">
        <v>0</v>
      </c>
      <c r="F170" s="28">
        <v>0</v>
      </c>
      <c r="G170" s="28">
        <v>0</v>
      </c>
      <c r="H170" s="1">
        <v>2</v>
      </c>
      <c r="I170" s="1">
        <v>7</v>
      </c>
      <c r="J170" s="1">
        <v>0</v>
      </c>
      <c r="K170" s="1">
        <v>0</v>
      </c>
      <c r="L170" s="1">
        <v>0</v>
      </c>
      <c r="M170" s="1">
        <v>0</v>
      </c>
      <c r="N170" s="1">
        <v>1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</row>
    <row r="171" spans="2:19" x14ac:dyDescent="0.35">
      <c r="B171" s="1">
        <v>3221</v>
      </c>
      <c r="C171" s="1" t="s">
        <v>22</v>
      </c>
      <c r="D171" s="1" t="s">
        <v>18</v>
      </c>
      <c r="E171" s="1">
        <v>0</v>
      </c>
      <c r="F171" s="28">
        <v>0</v>
      </c>
      <c r="G171" s="28">
        <v>0</v>
      </c>
      <c r="H171" s="1">
        <v>0</v>
      </c>
      <c r="I171" s="1">
        <v>1</v>
      </c>
      <c r="J171" s="1">
        <v>4</v>
      </c>
      <c r="K171" s="1">
        <v>0</v>
      </c>
      <c r="L171" s="1">
        <v>0</v>
      </c>
      <c r="M171" s="1">
        <v>0</v>
      </c>
      <c r="N171" s="1">
        <v>5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</row>
    <row r="172" spans="2:19" x14ac:dyDescent="0.35">
      <c r="B172" s="1">
        <v>3222</v>
      </c>
      <c r="C172" s="1" t="s">
        <v>19</v>
      </c>
      <c r="D172" s="1" t="s">
        <v>18</v>
      </c>
      <c r="E172" s="1">
        <v>0</v>
      </c>
      <c r="F172" s="28">
        <v>0</v>
      </c>
      <c r="G172" s="28">
        <v>0</v>
      </c>
      <c r="H172" s="1">
        <v>0</v>
      </c>
      <c r="I172" s="1">
        <v>10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</row>
    <row r="173" spans="2:19" x14ac:dyDescent="0.35">
      <c r="B173" s="1">
        <v>3223</v>
      </c>
      <c r="C173" s="1" t="s">
        <v>17</v>
      </c>
      <c r="D173" s="1" t="s">
        <v>18</v>
      </c>
      <c r="E173" s="1">
        <v>0</v>
      </c>
      <c r="F173" s="28">
        <v>0</v>
      </c>
      <c r="G173" s="28">
        <v>0</v>
      </c>
      <c r="H173" s="1">
        <v>0</v>
      </c>
      <c r="I173" s="1">
        <v>10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</row>
    <row r="174" spans="2:19" x14ac:dyDescent="0.35">
      <c r="B174" s="1">
        <v>3224</v>
      </c>
      <c r="C174" s="1" t="s">
        <v>17</v>
      </c>
      <c r="D174" s="1" t="s">
        <v>18</v>
      </c>
      <c r="E174" s="1">
        <v>0</v>
      </c>
      <c r="F174" s="28">
        <v>0</v>
      </c>
      <c r="G174" s="28">
        <v>0</v>
      </c>
      <c r="H174" s="1">
        <v>0</v>
      </c>
      <c r="I174" s="1">
        <v>10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</row>
    <row r="175" spans="2:19" x14ac:dyDescent="0.35">
      <c r="B175" s="1">
        <v>3225</v>
      </c>
      <c r="C175" s="1" t="s">
        <v>22</v>
      </c>
      <c r="D175" s="1" t="s">
        <v>18</v>
      </c>
      <c r="E175" s="1">
        <v>0</v>
      </c>
      <c r="F175" s="28">
        <v>0</v>
      </c>
      <c r="G175" s="28">
        <v>0</v>
      </c>
      <c r="H175" s="1">
        <v>0</v>
      </c>
      <c r="I175" s="1">
        <v>10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</row>
    <row r="176" spans="2:19" x14ac:dyDescent="0.35">
      <c r="B176" s="1">
        <v>3226</v>
      </c>
      <c r="C176" s="1" t="s">
        <v>19</v>
      </c>
      <c r="D176" s="1" t="s">
        <v>18</v>
      </c>
      <c r="E176" s="1">
        <v>0</v>
      </c>
      <c r="F176" s="28">
        <v>0</v>
      </c>
      <c r="G176" s="28">
        <v>0</v>
      </c>
      <c r="H176" s="1">
        <v>0</v>
      </c>
      <c r="I176" s="1">
        <v>0</v>
      </c>
      <c r="J176" s="1">
        <v>1</v>
      </c>
      <c r="K176" s="1">
        <v>0</v>
      </c>
      <c r="L176" s="1">
        <v>2</v>
      </c>
      <c r="M176" s="1">
        <v>0</v>
      </c>
      <c r="N176" s="1">
        <v>7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2:19" x14ac:dyDescent="0.35">
      <c r="B177" s="1">
        <v>3227</v>
      </c>
      <c r="C177" s="1" t="s">
        <v>23</v>
      </c>
      <c r="D177" s="1" t="s">
        <v>20</v>
      </c>
      <c r="E177" s="1">
        <v>0</v>
      </c>
      <c r="F177" s="28">
        <v>0</v>
      </c>
      <c r="G177" s="28">
        <v>0</v>
      </c>
      <c r="H177" s="1">
        <v>0</v>
      </c>
      <c r="I177" s="1">
        <v>10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</row>
    <row r="178" spans="2:19" x14ac:dyDescent="0.35">
      <c r="B178" s="1">
        <v>3228</v>
      </c>
      <c r="C178" s="1" t="s">
        <v>19</v>
      </c>
      <c r="D178" s="1" t="s">
        <v>20</v>
      </c>
      <c r="E178" s="1">
        <v>0</v>
      </c>
      <c r="F178" s="28">
        <v>0</v>
      </c>
      <c r="G178" s="28">
        <v>0</v>
      </c>
      <c r="H178" s="1">
        <v>0</v>
      </c>
      <c r="I178" s="1">
        <v>6</v>
      </c>
      <c r="J178" s="1">
        <v>0</v>
      </c>
      <c r="K178" s="1">
        <v>0</v>
      </c>
      <c r="L178" s="1">
        <v>2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2</v>
      </c>
      <c r="S178" s="1">
        <v>0</v>
      </c>
    </row>
    <row r="179" spans="2:19" x14ac:dyDescent="0.35">
      <c r="B179" s="1">
        <v>3229</v>
      </c>
      <c r="C179" s="1" t="s">
        <v>17</v>
      </c>
      <c r="D179" s="1" t="s">
        <v>18</v>
      </c>
      <c r="E179" s="1">
        <v>1</v>
      </c>
      <c r="F179" s="28">
        <v>0</v>
      </c>
      <c r="G179" s="28">
        <v>0</v>
      </c>
      <c r="H179" s="1">
        <v>0</v>
      </c>
      <c r="I179" s="1">
        <v>0</v>
      </c>
      <c r="J179" s="1">
        <v>4</v>
      </c>
      <c r="K179" s="1">
        <v>0</v>
      </c>
      <c r="L179" s="1">
        <v>0</v>
      </c>
      <c r="M179" s="1">
        <v>0</v>
      </c>
      <c r="N179" s="1">
        <v>5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</row>
    <row r="180" spans="2:19" x14ac:dyDescent="0.35">
      <c r="B180" s="1">
        <v>3230</v>
      </c>
      <c r="C180" s="1" t="s">
        <v>19</v>
      </c>
      <c r="D180" s="1" t="s">
        <v>18</v>
      </c>
      <c r="E180" s="1">
        <v>0</v>
      </c>
      <c r="F180" s="28">
        <v>0</v>
      </c>
      <c r="G180" s="28">
        <v>0</v>
      </c>
      <c r="H180" s="1">
        <v>0</v>
      </c>
      <c r="I180" s="1">
        <v>10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</row>
    <row r="181" spans="2:19" x14ac:dyDescent="0.35">
      <c r="B181" s="1">
        <v>3231</v>
      </c>
      <c r="C181" s="1" t="s">
        <v>17</v>
      </c>
      <c r="D181" s="1" t="s">
        <v>20</v>
      </c>
      <c r="E181" s="1">
        <v>0</v>
      </c>
      <c r="F181" s="28">
        <v>0</v>
      </c>
      <c r="G181" s="28">
        <v>0</v>
      </c>
      <c r="H181" s="1">
        <v>0</v>
      </c>
      <c r="I181" s="1">
        <v>10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</row>
    <row r="182" spans="2:19" x14ac:dyDescent="0.35">
      <c r="B182" s="1">
        <v>3232</v>
      </c>
      <c r="C182" s="1" t="s">
        <v>19</v>
      </c>
      <c r="D182" s="1" t="s">
        <v>18</v>
      </c>
      <c r="E182" s="1">
        <v>0</v>
      </c>
      <c r="F182" s="28">
        <v>0</v>
      </c>
      <c r="G182" s="28">
        <v>0</v>
      </c>
      <c r="H182" s="1">
        <v>0</v>
      </c>
      <c r="I182" s="1">
        <v>0</v>
      </c>
      <c r="J182" s="1">
        <v>3</v>
      </c>
      <c r="K182" s="1">
        <v>0</v>
      </c>
      <c r="L182" s="1">
        <v>0</v>
      </c>
      <c r="M182" s="1">
        <v>0</v>
      </c>
      <c r="N182" s="1">
        <v>5</v>
      </c>
      <c r="O182" s="1">
        <v>2</v>
      </c>
      <c r="P182" s="1">
        <v>0</v>
      </c>
      <c r="Q182" s="1">
        <v>0</v>
      </c>
      <c r="R182" s="1">
        <v>0</v>
      </c>
      <c r="S182" s="1">
        <v>0</v>
      </c>
    </row>
    <row r="183" spans="2:19" x14ac:dyDescent="0.35">
      <c r="B183" s="1">
        <v>3233</v>
      </c>
      <c r="C183" s="1" t="s">
        <v>21</v>
      </c>
      <c r="D183" s="1" t="s">
        <v>18</v>
      </c>
      <c r="E183" s="1">
        <v>0</v>
      </c>
      <c r="F183" s="28">
        <v>0</v>
      </c>
      <c r="G183" s="28">
        <v>0</v>
      </c>
      <c r="H183" s="1">
        <v>0</v>
      </c>
      <c r="I183" s="1">
        <v>10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</row>
    <row r="184" spans="2:19" x14ac:dyDescent="0.35">
      <c r="B184" s="1">
        <v>3234</v>
      </c>
      <c r="C184" s="1" t="s">
        <v>121</v>
      </c>
      <c r="D184" s="1" t="s">
        <v>18</v>
      </c>
      <c r="E184" s="1">
        <v>0</v>
      </c>
      <c r="F184" s="28">
        <v>0</v>
      </c>
      <c r="G184" s="28">
        <v>0</v>
      </c>
      <c r="H184" s="1">
        <v>0</v>
      </c>
      <c r="I184" s="1">
        <v>1</v>
      </c>
      <c r="J184" s="1">
        <v>8</v>
      </c>
      <c r="K184" s="1">
        <v>0</v>
      </c>
      <c r="L184" s="1">
        <v>0</v>
      </c>
      <c r="M184" s="1">
        <v>0</v>
      </c>
      <c r="N184" s="1">
        <v>0</v>
      </c>
      <c r="O184" s="1">
        <v>1</v>
      </c>
      <c r="P184" s="1">
        <v>0</v>
      </c>
      <c r="Q184" s="1">
        <v>0</v>
      </c>
      <c r="R184" s="1">
        <v>0</v>
      </c>
      <c r="S184" s="1">
        <v>0</v>
      </c>
    </row>
    <row r="185" spans="2:19" x14ac:dyDescent="0.35">
      <c r="B185" s="1">
        <v>3235</v>
      </c>
      <c r="C185" s="1" t="s">
        <v>23</v>
      </c>
      <c r="D185" s="1" t="s">
        <v>18</v>
      </c>
      <c r="E185" s="1">
        <v>0</v>
      </c>
      <c r="F185" s="28">
        <v>0</v>
      </c>
      <c r="G185" s="28">
        <v>0</v>
      </c>
      <c r="H185" s="1">
        <v>0</v>
      </c>
      <c r="I185" s="1">
        <v>6</v>
      </c>
      <c r="J185" s="1">
        <v>3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1</v>
      </c>
    </row>
    <row r="186" spans="2:19" x14ac:dyDescent="0.35">
      <c r="B186" s="1">
        <v>3236</v>
      </c>
      <c r="C186" s="1" t="s">
        <v>17</v>
      </c>
      <c r="D186" s="1" t="s">
        <v>18</v>
      </c>
      <c r="E186" s="1">
        <v>0</v>
      </c>
      <c r="F186" s="28">
        <v>0</v>
      </c>
      <c r="G186" s="28">
        <v>0</v>
      </c>
      <c r="H186" s="1">
        <v>0</v>
      </c>
      <c r="I186" s="1">
        <v>8</v>
      </c>
      <c r="J186" s="1">
        <v>1</v>
      </c>
      <c r="K186" s="1">
        <v>0</v>
      </c>
      <c r="L186" s="1">
        <v>0</v>
      </c>
      <c r="M186" s="1">
        <v>1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</row>
    <row r="187" spans="2:19" x14ac:dyDescent="0.35">
      <c r="B187" s="1">
        <v>3237</v>
      </c>
      <c r="C187" s="1" t="s">
        <v>19</v>
      </c>
      <c r="D187" s="1" t="s">
        <v>20</v>
      </c>
      <c r="E187" s="1">
        <v>0</v>
      </c>
      <c r="F187" s="28">
        <v>0</v>
      </c>
      <c r="G187" s="28">
        <v>0</v>
      </c>
      <c r="H187" s="1">
        <v>0</v>
      </c>
      <c r="I187" s="1">
        <v>8</v>
      </c>
      <c r="J187" s="1">
        <v>1</v>
      </c>
      <c r="K187" s="1">
        <v>0</v>
      </c>
      <c r="L187" s="1">
        <v>0</v>
      </c>
      <c r="M187" s="1">
        <v>1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</row>
    <row r="188" spans="2:19" x14ac:dyDescent="0.35">
      <c r="B188" s="1">
        <v>3238</v>
      </c>
      <c r="C188" s="1" t="s">
        <v>17</v>
      </c>
      <c r="D188" s="1" t="s">
        <v>18</v>
      </c>
      <c r="E188" s="1">
        <v>0</v>
      </c>
      <c r="F188" s="28">
        <v>0</v>
      </c>
      <c r="G188" s="28">
        <v>0</v>
      </c>
      <c r="H188" s="1">
        <v>0</v>
      </c>
      <c r="I188" s="1">
        <v>6</v>
      </c>
      <c r="J188" s="1">
        <v>3</v>
      </c>
      <c r="K188" s="1">
        <v>0</v>
      </c>
      <c r="L188" s="1">
        <v>0</v>
      </c>
      <c r="M188" s="1">
        <v>1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2:19" x14ac:dyDescent="0.35">
      <c r="B189" s="1">
        <v>3239</v>
      </c>
      <c r="C189" s="1" t="s">
        <v>23</v>
      </c>
      <c r="D189" s="1" t="s">
        <v>18</v>
      </c>
      <c r="E189" s="1">
        <v>0</v>
      </c>
      <c r="F189" s="28">
        <v>0</v>
      </c>
      <c r="G189" s="28">
        <v>0</v>
      </c>
      <c r="H189" s="1">
        <v>0</v>
      </c>
      <c r="I189" s="1">
        <v>5</v>
      </c>
      <c r="J189" s="1">
        <v>4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1</v>
      </c>
      <c r="Q189" s="1">
        <v>0</v>
      </c>
      <c r="R189" s="1">
        <v>0</v>
      </c>
      <c r="S189" s="1">
        <v>0</v>
      </c>
    </row>
    <row r="190" spans="2:19" x14ac:dyDescent="0.35">
      <c r="B190" s="1">
        <v>3240</v>
      </c>
      <c r="C190" s="1" t="s">
        <v>23</v>
      </c>
      <c r="D190" s="1" t="s">
        <v>20</v>
      </c>
      <c r="E190" s="1">
        <v>0</v>
      </c>
      <c r="F190" s="28">
        <v>0</v>
      </c>
      <c r="G190" s="28">
        <v>0</v>
      </c>
      <c r="H190" s="1">
        <v>0</v>
      </c>
      <c r="I190" s="1">
        <v>7</v>
      </c>
      <c r="J190" s="1">
        <v>2</v>
      </c>
      <c r="K190" s="1">
        <v>0</v>
      </c>
      <c r="L190" s="1">
        <v>0</v>
      </c>
      <c r="M190" s="1">
        <v>1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</row>
    <row r="191" spans="2:19" x14ac:dyDescent="0.35">
      <c r="B191" s="1">
        <v>3241</v>
      </c>
      <c r="C191" s="1" t="s">
        <v>17</v>
      </c>
      <c r="D191" s="1" t="s">
        <v>18</v>
      </c>
      <c r="E191" s="1">
        <v>0</v>
      </c>
      <c r="F191" s="28">
        <v>0</v>
      </c>
      <c r="G191" s="28">
        <v>0</v>
      </c>
      <c r="H191" s="1">
        <v>0</v>
      </c>
      <c r="I191" s="1">
        <v>8</v>
      </c>
      <c r="J191" s="1">
        <v>1</v>
      </c>
      <c r="K191" s="1">
        <v>0</v>
      </c>
      <c r="L191" s="1">
        <v>0</v>
      </c>
      <c r="M191" s="1">
        <v>1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</row>
    <row r="192" spans="2:19" x14ac:dyDescent="0.35">
      <c r="B192" s="1">
        <v>3242</v>
      </c>
      <c r="C192" s="1" t="s">
        <v>19</v>
      </c>
      <c r="D192" s="1" t="s">
        <v>20</v>
      </c>
      <c r="E192" s="1">
        <v>0</v>
      </c>
      <c r="F192" s="28">
        <v>0</v>
      </c>
      <c r="G192" s="28">
        <v>0</v>
      </c>
      <c r="H192" s="1">
        <v>0</v>
      </c>
      <c r="I192" s="1">
        <v>6</v>
      </c>
      <c r="J192" s="1">
        <v>3</v>
      </c>
      <c r="K192" s="1">
        <v>0</v>
      </c>
      <c r="L192" s="1">
        <v>0</v>
      </c>
      <c r="M192" s="1">
        <v>0</v>
      </c>
      <c r="N192" s="1">
        <v>1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</row>
    <row r="193" spans="2:19" x14ac:dyDescent="0.35">
      <c r="B193" s="1">
        <v>3243</v>
      </c>
      <c r="C193" s="1" t="s">
        <v>24</v>
      </c>
      <c r="D193" s="1" t="s">
        <v>20</v>
      </c>
      <c r="E193" s="1">
        <v>0</v>
      </c>
      <c r="F193" s="28">
        <v>0</v>
      </c>
      <c r="G193" s="28">
        <v>0</v>
      </c>
      <c r="H193" s="1">
        <v>0</v>
      </c>
      <c r="I193" s="1">
        <v>8</v>
      </c>
      <c r="J193" s="1">
        <v>1</v>
      </c>
      <c r="K193" s="1">
        <v>0</v>
      </c>
      <c r="L193" s="1">
        <v>0</v>
      </c>
      <c r="M193" s="1">
        <v>0</v>
      </c>
      <c r="N193" s="1">
        <v>1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</row>
    <row r="194" spans="2:19" x14ac:dyDescent="0.35">
      <c r="B194" s="1">
        <v>3244</v>
      </c>
      <c r="C194" s="1" t="s">
        <v>22</v>
      </c>
      <c r="D194" s="1" t="s">
        <v>18</v>
      </c>
      <c r="E194" s="1">
        <v>0</v>
      </c>
      <c r="F194" s="28">
        <v>0</v>
      </c>
      <c r="G194" s="28">
        <v>0</v>
      </c>
      <c r="H194" s="1">
        <v>0</v>
      </c>
      <c r="I194" s="1">
        <v>5</v>
      </c>
      <c r="J194" s="1">
        <v>3</v>
      </c>
      <c r="K194" s="1">
        <v>0</v>
      </c>
      <c r="L194" s="1">
        <v>0</v>
      </c>
      <c r="M194" s="1">
        <v>2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</row>
    <row r="195" spans="2:19" x14ac:dyDescent="0.35">
      <c r="B195" s="1">
        <v>3245</v>
      </c>
      <c r="C195" s="1" t="s">
        <v>19</v>
      </c>
      <c r="D195" s="1" t="s">
        <v>18</v>
      </c>
      <c r="E195" s="1">
        <v>0</v>
      </c>
      <c r="F195" s="28">
        <v>0</v>
      </c>
      <c r="G195" s="28">
        <v>0</v>
      </c>
      <c r="H195" s="1">
        <v>0</v>
      </c>
      <c r="I195" s="1">
        <v>7</v>
      </c>
      <c r="J195" s="1">
        <v>2</v>
      </c>
      <c r="K195" s="1">
        <v>0</v>
      </c>
      <c r="L195" s="1">
        <v>0</v>
      </c>
      <c r="M195" s="1">
        <v>0</v>
      </c>
      <c r="N195" s="1">
        <v>0</v>
      </c>
      <c r="O195" s="1">
        <v>1</v>
      </c>
      <c r="P195" s="1">
        <v>0</v>
      </c>
      <c r="Q195" s="1">
        <v>0</v>
      </c>
      <c r="R195" s="1">
        <v>0</v>
      </c>
      <c r="S195" s="1">
        <v>0</v>
      </c>
    </row>
    <row r="196" spans="2:19" x14ac:dyDescent="0.35">
      <c r="B196" s="1">
        <v>3246</v>
      </c>
      <c r="C196" s="1" t="s">
        <v>22</v>
      </c>
      <c r="D196" s="1" t="s">
        <v>18</v>
      </c>
      <c r="E196" s="1">
        <v>0</v>
      </c>
      <c r="F196" s="28">
        <v>0</v>
      </c>
      <c r="G196" s="28">
        <v>0</v>
      </c>
      <c r="H196" s="1">
        <v>0</v>
      </c>
      <c r="I196" s="1">
        <v>8</v>
      </c>
      <c r="J196" s="1">
        <v>1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1</v>
      </c>
    </row>
    <row r="197" spans="2:19" x14ac:dyDescent="0.35">
      <c r="B197" s="1">
        <v>3247</v>
      </c>
      <c r="C197" s="1" t="s">
        <v>17</v>
      </c>
      <c r="D197" s="1" t="s">
        <v>20</v>
      </c>
      <c r="E197" s="1">
        <v>0</v>
      </c>
      <c r="F197" s="28">
        <v>0</v>
      </c>
      <c r="G197" s="28">
        <v>0</v>
      </c>
      <c r="H197" s="1">
        <v>0</v>
      </c>
      <c r="I197" s="1">
        <v>7</v>
      </c>
      <c r="J197" s="1">
        <v>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1</v>
      </c>
      <c r="R197" s="1">
        <v>0</v>
      </c>
      <c r="S197" s="1">
        <v>0</v>
      </c>
    </row>
    <row r="198" spans="2:19" x14ac:dyDescent="0.35">
      <c r="B198" s="1">
        <v>3248</v>
      </c>
      <c r="C198" s="1" t="s">
        <v>23</v>
      </c>
      <c r="D198" s="1" t="s">
        <v>18</v>
      </c>
      <c r="E198" s="1">
        <v>0</v>
      </c>
      <c r="F198" s="28">
        <v>0</v>
      </c>
      <c r="G198" s="28">
        <v>0</v>
      </c>
      <c r="H198" s="1">
        <v>0</v>
      </c>
      <c r="I198" s="1">
        <v>5</v>
      </c>
      <c r="J198" s="1">
        <v>4</v>
      </c>
      <c r="K198" s="1">
        <v>0</v>
      </c>
      <c r="L198" s="1">
        <v>0</v>
      </c>
      <c r="M198" s="1">
        <v>0</v>
      </c>
      <c r="N198" s="1">
        <v>1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</row>
    <row r="199" spans="2:19" x14ac:dyDescent="0.35">
      <c r="B199" s="1">
        <v>3249</v>
      </c>
      <c r="C199" s="1" t="s">
        <v>23</v>
      </c>
      <c r="D199" s="1" t="s">
        <v>20</v>
      </c>
      <c r="E199" s="1">
        <v>0</v>
      </c>
      <c r="F199" s="28">
        <v>0</v>
      </c>
      <c r="G199" s="28">
        <v>0</v>
      </c>
      <c r="H199" s="1">
        <v>0</v>
      </c>
      <c r="I199" s="1">
        <v>5</v>
      </c>
      <c r="J199" s="1">
        <v>4</v>
      </c>
      <c r="K199" s="1">
        <v>0</v>
      </c>
      <c r="L199" s="1">
        <v>0</v>
      </c>
      <c r="M199" s="1">
        <v>1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</row>
    <row r="200" spans="2:19" x14ac:dyDescent="0.35">
      <c r="B200" s="1">
        <v>3250</v>
      </c>
      <c r="C200" s="1" t="s">
        <v>17</v>
      </c>
      <c r="D200" s="1" t="s">
        <v>18</v>
      </c>
      <c r="E200" s="1">
        <v>0</v>
      </c>
      <c r="F200" s="28">
        <v>0</v>
      </c>
      <c r="G200" s="28">
        <v>0</v>
      </c>
      <c r="H200" s="1">
        <v>0</v>
      </c>
      <c r="I200" s="1">
        <v>7</v>
      </c>
      <c r="J200" s="1">
        <v>2</v>
      </c>
      <c r="K200" s="1">
        <v>0</v>
      </c>
      <c r="L200" s="1">
        <v>0</v>
      </c>
      <c r="M200" s="1">
        <v>1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2:19" x14ac:dyDescent="0.35">
      <c r="B201" s="1">
        <v>3251</v>
      </c>
      <c r="C201" s="1" t="s">
        <v>19</v>
      </c>
      <c r="D201" s="1" t="s">
        <v>18</v>
      </c>
      <c r="E201" s="1">
        <v>0</v>
      </c>
      <c r="F201" s="28">
        <v>0</v>
      </c>
      <c r="G201" s="28">
        <v>0</v>
      </c>
      <c r="H201" s="1">
        <v>0</v>
      </c>
      <c r="I201" s="1">
        <v>5</v>
      </c>
      <c r="J201" s="1">
        <v>4</v>
      </c>
      <c r="K201" s="1">
        <v>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</row>
    <row r="202" spans="2:19" x14ac:dyDescent="0.35">
      <c r="B202" s="1">
        <v>3252</v>
      </c>
      <c r="C202" s="1" t="s">
        <v>19</v>
      </c>
      <c r="D202" s="1" t="s">
        <v>18</v>
      </c>
      <c r="E202" s="1">
        <v>0</v>
      </c>
      <c r="F202" s="28">
        <v>0</v>
      </c>
      <c r="G202" s="28">
        <v>0</v>
      </c>
      <c r="H202" s="1">
        <v>0</v>
      </c>
      <c r="I202" s="1">
        <v>7</v>
      </c>
      <c r="J202" s="1">
        <v>2</v>
      </c>
      <c r="K202" s="1">
        <v>0</v>
      </c>
      <c r="L202" s="1">
        <v>0</v>
      </c>
      <c r="M202" s="1">
        <v>1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</row>
    <row r="203" spans="2:19" x14ac:dyDescent="0.35">
      <c r="B203" s="1">
        <v>3253</v>
      </c>
      <c r="C203" s="1" t="s">
        <v>21</v>
      </c>
      <c r="D203" s="1" t="s">
        <v>18</v>
      </c>
      <c r="E203" s="1">
        <v>0</v>
      </c>
      <c r="F203" s="28">
        <v>0</v>
      </c>
      <c r="G203" s="28">
        <v>0</v>
      </c>
      <c r="H203" s="1">
        <v>0</v>
      </c>
      <c r="I203" s="1">
        <v>7</v>
      </c>
      <c r="J203" s="1">
        <v>2</v>
      </c>
      <c r="K203" s="1">
        <v>0</v>
      </c>
      <c r="L203" s="1">
        <v>0</v>
      </c>
      <c r="M203" s="1">
        <v>0</v>
      </c>
      <c r="N203" s="1">
        <v>1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</row>
    <row r="204" spans="2:19" x14ac:dyDescent="0.35">
      <c r="B204" s="1">
        <v>3254</v>
      </c>
      <c r="C204" s="1" t="s">
        <v>23</v>
      </c>
      <c r="D204" s="1" t="s">
        <v>20</v>
      </c>
      <c r="E204" s="1">
        <v>0</v>
      </c>
      <c r="F204" s="28">
        <v>1</v>
      </c>
      <c r="G204" s="28">
        <v>0</v>
      </c>
      <c r="H204" s="1">
        <v>0</v>
      </c>
      <c r="I204" s="1">
        <v>7</v>
      </c>
      <c r="J204" s="1">
        <v>2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</row>
    <row r="205" spans="2:19" x14ac:dyDescent="0.35">
      <c r="B205" s="1">
        <v>3255</v>
      </c>
      <c r="C205" s="1" t="s">
        <v>22</v>
      </c>
      <c r="D205" s="1" t="s">
        <v>20</v>
      </c>
      <c r="E205" s="1">
        <v>0</v>
      </c>
      <c r="F205" s="28">
        <v>0</v>
      </c>
      <c r="G205" s="28">
        <v>0</v>
      </c>
      <c r="H205" s="1">
        <v>7</v>
      </c>
      <c r="I205" s="1">
        <v>2</v>
      </c>
      <c r="J205" s="1">
        <v>1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</row>
    <row r="206" spans="2:19" x14ac:dyDescent="0.35">
      <c r="B206" s="1">
        <v>3256</v>
      </c>
      <c r="C206" s="1" t="s">
        <v>22</v>
      </c>
      <c r="D206" s="1" t="s">
        <v>18</v>
      </c>
      <c r="E206" s="1">
        <v>0</v>
      </c>
      <c r="F206" s="28">
        <v>0</v>
      </c>
      <c r="G206" s="28">
        <v>0</v>
      </c>
      <c r="H206" s="1">
        <v>5</v>
      </c>
      <c r="I206" s="1">
        <v>0</v>
      </c>
      <c r="J206" s="1">
        <v>0</v>
      </c>
      <c r="K206" s="1">
        <v>0</v>
      </c>
      <c r="L206" s="1">
        <v>5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</row>
    <row r="207" spans="2:19" x14ac:dyDescent="0.35">
      <c r="B207" s="1">
        <v>3257</v>
      </c>
      <c r="C207" s="1" t="s">
        <v>19</v>
      </c>
      <c r="D207" s="1" t="s">
        <v>18</v>
      </c>
      <c r="E207" s="1">
        <v>0</v>
      </c>
      <c r="F207" s="28">
        <v>0</v>
      </c>
      <c r="G207" s="28">
        <v>1</v>
      </c>
      <c r="H207" s="1">
        <v>8</v>
      </c>
      <c r="I207" s="1">
        <v>1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</row>
    <row r="208" spans="2:19" x14ac:dyDescent="0.35">
      <c r="B208" s="1">
        <v>3258</v>
      </c>
      <c r="C208" s="1" t="s">
        <v>17</v>
      </c>
      <c r="D208" s="1" t="s">
        <v>20</v>
      </c>
      <c r="E208" s="1">
        <v>0</v>
      </c>
      <c r="F208" s="28">
        <v>0</v>
      </c>
      <c r="G208" s="28">
        <v>0</v>
      </c>
      <c r="H208" s="1">
        <v>6</v>
      </c>
      <c r="I208" s="1">
        <v>0</v>
      </c>
      <c r="J208" s="1">
        <v>3</v>
      </c>
      <c r="K208" s="1">
        <v>0</v>
      </c>
      <c r="L208" s="1">
        <v>0</v>
      </c>
      <c r="M208" s="1">
        <v>0</v>
      </c>
      <c r="N208" s="1">
        <v>1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</row>
    <row r="209" spans="2:19" x14ac:dyDescent="0.35">
      <c r="B209" s="1">
        <v>3259</v>
      </c>
      <c r="C209" s="1" t="s">
        <v>17</v>
      </c>
      <c r="D209" s="1" t="s">
        <v>18</v>
      </c>
      <c r="E209" s="1">
        <v>0</v>
      </c>
      <c r="F209" s="28">
        <v>0</v>
      </c>
      <c r="G209" s="28">
        <v>0</v>
      </c>
      <c r="H209" s="1">
        <v>8</v>
      </c>
      <c r="I209" s="1">
        <v>1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1</v>
      </c>
    </row>
    <row r="210" spans="2:19" x14ac:dyDescent="0.35">
      <c r="B210" s="1">
        <v>3260</v>
      </c>
      <c r="C210" s="1" t="s">
        <v>24</v>
      </c>
      <c r="D210" s="1" t="s">
        <v>20</v>
      </c>
      <c r="E210" s="1">
        <v>0</v>
      </c>
      <c r="F210" s="28">
        <v>0</v>
      </c>
      <c r="G210" s="28">
        <v>0</v>
      </c>
      <c r="H210" s="1">
        <v>6</v>
      </c>
      <c r="I210" s="1">
        <v>3</v>
      </c>
      <c r="J210" s="1">
        <v>0</v>
      </c>
      <c r="K210" s="1">
        <v>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</row>
    <row r="211" spans="2:19" x14ac:dyDescent="0.35">
      <c r="B211" s="1">
        <v>3261</v>
      </c>
      <c r="C211" s="1" t="s">
        <v>17</v>
      </c>
      <c r="D211" s="1" t="s">
        <v>20</v>
      </c>
      <c r="E211" s="1">
        <v>0</v>
      </c>
      <c r="F211" s="28">
        <v>1</v>
      </c>
      <c r="G211" s="28">
        <v>0</v>
      </c>
      <c r="H211" s="1">
        <v>7</v>
      </c>
      <c r="I211" s="1">
        <v>2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</row>
    <row r="212" spans="2:19" x14ac:dyDescent="0.35">
      <c r="B212" s="1">
        <v>3262</v>
      </c>
      <c r="C212" s="1" t="s">
        <v>19</v>
      </c>
      <c r="D212" s="1" t="s">
        <v>20</v>
      </c>
      <c r="E212" s="1">
        <v>0</v>
      </c>
      <c r="F212" s="28">
        <v>0</v>
      </c>
      <c r="G212" s="28">
        <v>0</v>
      </c>
      <c r="H212" s="1">
        <v>7</v>
      </c>
      <c r="I212" s="1">
        <v>2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1</v>
      </c>
      <c r="Q212" s="1">
        <v>0</v>
      </c>
      <c r="R212" s="1">
        <v>0</v>
      </c>
      <c r="S212" s="1">
        <v>0</v>
      </c>
    </row>
    <row r="213" spans="2:19" x14ac:dyDescent="0.35">
      <c r="B213" s="1">
        <v>3263</v>
      </c>
      <c r="C213" s="1" t="s">
        <v>19</v>
      </c>
      <c r="D213" s="1" t="s">
        <v>18</v>
      </c>
      <c r="E213" s="1">
        <v>0</v>
      </c>
      <c r="F213" s="28">
        <v>1</v>
      </c>
      <c r="G213" s="28">
        <v>0</v>
      </c>
      <c r="H213" s="1">
        <v>6</v>
      </c>
      <c r="I213" s="1">
        <v>3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</row>
    <row r="214" spans="2:19" x14ac:dyDescent="0.35">
      <c r="B214" s="1">
        <v>3264</v>
      </c>
      <c r="C214" s="1" t="s">
        <v>21</v>
      </c>
      <c r="D214" s="1" t="s">
        <v>20</v>
      </c>
      <c r="E214" s="1">
        <v>0</v>
      </c>
      <c r="F214" s="28">
        <v>0</v>
      </c>
      <c r="G214" s="28">
        <v>0</v>
      </c>
      <c r="H214" s="1">
        <v>7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1</v>
      </c>
      <c r="P214" s="1">
        <v>2</v>
      </c>
      <c r="Q214" s="1">
        <v>0</v>
      </c>
      <c r="R214" s="1">
        <v>0</v>
      </c>
      <c r="S214" s="1">
        <v>0</v>
      </c>
    </row>
    <row r="215" spans="2:19" x14ac:dyDescent="0.35">
      <c r="B215" s="1">
        <v>3265</v>
      </c>
      <c r="C215" s="1" t="s">
        <v>24</v>
      </c>
      <c r="D215" s="1" t="s">
        <v>20</v>
      </c>
      <c r="E215" s="1">
        <v>0</v>
      </c>
      <c r="F215" s="28">
        <v>0</v>
      </c>
      <c r="G215" s="28">
        <v>0</v>
      </c>
      <c r="H215" s="1">
        <v>7</v>
      </c>
      <c r="I215" s="1">
        <v>1</v>
      </c>
      <c r="J215" s="1">
        <v>2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</row>
    <row r="216" spans="2:19" x14ac:dyDescent="0.35">
      <c r="B216" s="1">
        <v>3266</v>
      </c>
      <c r="C216" s="1" t="s">
        <v>26</v>
      </c>
      <c r="D216" s="1" t="s">
        <v>18</v>
      </c>
      <c r="E216" s="1">
        <v>0</v>
      </c>
      <c r="F216" s="28">
        <v>0</v>
      </c>
      <c r="G216" s="28">
        <v>0</v>
      </c>
      <c r="H216" s="1">
        <v>7</v>
      </c>
      <c r="I216" s="1">
        <v>0</v>
      </c>
      <c r="J216" s="1">
        <v>2</v>
      </c>
      <c r="K216" s="1">
        <v>0</v>
      </c>
      <c r="L216" s="1">
        <v>0</v>
      </c>
      <c r="M216" s="1">
        <v>0</v>
      </c>
      <c r="N216" s="1">
        <v>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2:19" x14ac:dyDescent="0.35">
      <c r="B217" s="1">
        <v>3267</v>
      </c>
      <c r="C217" s="1" t="s">
        <v>19</v>
      </c>
      <c r="D217" s="1" t="s">
        <v>18</v>
      </c>
      <c r="E217" s="1">
        <v>0</v>
      </c>
      <c r="F217" s="28">
        <v>0</v>
      </c>
      <c r="G217" s="28">
        <v>0</v>
      </c>
      <c r="H217" s="1">
        <v>8</v>
      </c>
      <c r="I217" s="1">
        <v>1</v>
      </c>
      <c r="J217" s="1">
        <v>1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</row>
    <row r="218" spans="2:19" x14ac:dyDescent="0.35">
      <c r="B218" s="1">
        <v>3268</v>
      </c>
      <c r="C218" s="1" t="s">
        <v>17</v>
      </c>
      <c r="D218" s="1" t="s">
        <v>18</v>
      </c>
      <c r="E218" s="1">
        <v>0</v>
      </c>
      <c r="F218" s="28">
        <v>0</v>
      </c>
      <c r="G218" s="28">
        <v>0</v>
      </c>
      <c r="H218" s="1">
        <v>6</v>
      </c>
      <c r="I218" s="1">
        <v>2</v>
      </c>
      <c r="J218" s="1">
        <v>2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</row>
    <row r="219" spans="2:19" x14ac:dyDescent="0.35">
      <c r="B219" s="1">
        <v>3269</v>
      </c>
      <c r="C219" s="1" t="s">
        <v>17</v>
      </c>
      <c r="D219" s="1" t="s">
        <v>20</v>
      </c>
      <c r="E219" s="1">
        <v>0</v>
      </c>
      <c r="F219" s="28">
        <v>0</v>
      </c>
      <c r="G219" s="28">
        <v>0</v>
      </c>
      <c r="H219" s="1">
        <v>5</v>
      </c>
      <c r="I219" s="1">
        <v>2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3</v>
      </c>
      <c r="Q219" s="1">
        <v>0</v>
      </c>
      <c r="R219" s="1">
        <v>0</v>
      </c>
      <c r="S219" s="1">
        <v>0</v>
      </c>
    </row>
    <row r="220" spans="2:19" x14ac:dyDescent="0.35">
      <c r="B220" s="1">
        <v>3270</v>
      </c>
      <c r="C220" s="1" t="s">
        <v>17</v>
      </c>
      <c r="D220" s="1" t="s">
        <v>20</v>
      </c>
      <c r="E220" s="1">
        <v>0</v>
      </c>
      <c r="F220" s="28">
        <v>0</v>
      </c>
      <c r="G220" s="28">
        <v>0</v>
      </c>
      <c r="H220" s="1">
        <v>6</v>
      </c>
      <c r="I220" s="1">
        <v>2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2</v>
      </c>
      <c r="P220" s="1">
        <v>0</v>
      </c>
      <c r="Q220" s="1">
        <v>0</v>
      </c>
      <c r="R220" s="1">
        <v>0</v>
      </c>
      <c r="S220" s="1">
        <v>0</v>
      </c>
    </row>
    <row r="221" spans="2:19" x14ac:dyDescent="0.35">
      <c r="B221" s="1">
        <v>3271</v>
      </c>
      <c r="C221" s="1" t="s">
        <v>17</v>
      </c>
      <c r="D221" s="1" t="s">
        <v>18</v>
      </c>
      <c r="E221" s="1">
        <v>0</v>
      </c>
      <c r="F221" s="28">
        <v>0</v>
      </c>
      <c r="G221" s="28">
        <v>0</v>
      </c>
      <c r="H221" s="1">
        <v>5</v>
      </c>
      <c r="I221" s="1">
        <v>0</v>
      </c>
      <c r="J221" s="1">
        <v>0</v>
      </c>
      <c r="K221" s="1">
        <v>1</v>
      </c>
      <c r="L221" s="1">
        <v>0</v>
      </c>
      <c r="M221" s="1">
        <v>0</v>
      </c>
      <c r="N221" s="1">
        <v>0</v>
      </c>
      <c r="O221" s="1">
        <v>0</v>
      </c>
      <c r="P221" s="1">
        <v>4</v>
      </c>
      <c r="Q221" s="1">
        <v>0</v>
      </c>
      <c r="R221" s="1">
        <v>0</v>
      </c>
      <c r="S221" s="1">
        <v>0</v>
      </c>
    </row>
    <row r="222" spans="2:19" x14ac:dyDescent="0.35">
      <c r="B222" s="1">
        <v>3272</v>
      </c>
      <c r="C222" s="1" t="s">
        <v>19</v>
      </c>
      <c r="D222" s="1" t="s">
        <v>20</v>
      </c>
      <c r="E222" s="1">
        <v>0</v>
      </c>
      <c r="F222" s="28">
        <v>0</v>
      </c>
      <c r="G222" s="28">
        <v>0</v>
      </c>
      <c r="H222" s="1">
        <v>8</v>
      </c>
      <c r="I222" s="1">
        <v>1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1</v>
      </c>
      <c r="P222" s="1">
        <v>0</v>
      </c>
      <c r="Q222" s="1">
        <v>0</v>
      </c>
      <c r="R222" s="1">
        <v>0</v>
      </c>
      <c r="S222" s="1">
        <v>0</v>
      </c>
    </row>
    <row r="223" spans="2:19" x14ac:dyDescent="0.35">
      <c r="B223" s="1">
        <v>3273</v>
      </c>
      <c r="C223" s="1" t="s">
        <v>19</v>
      </c>
      <c r="D223" s="1" t="s">
        <v>20</v>
      </c>
      <c r="E223" s="1">
        <v>0</v>
      </c>
      <c r="F223" s="28">
        <v>0</v>
      </c>
      <c r="G223" s="28">
        <v>0</v>
      </c>
      <c r="H223" s="1">
        <v>5</v>
      </c>
      <c r="I223" s="1">
        <v>0</v>
      </c>
      <c r="J223" s="1">
        <v>0</v>
      </c>
      <c r="K223" s="1">
        <v>1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4</v>
      </c>
      <c r="R223" s="1">
        <v>0</v>
      </c>
      <c r="S223" s="1">
        <v>0</v>
      </c>
    </row>
    <row r="224" spans="2:19" x14ac:dyDescent="0.35">
      <c r="B224" s="1">
        <v>3274</v>
      </c>
      <c r="C224" s="1" t="s">
        <v>17</v>
      </c>
      <c r="D224" s="1" t="s">
        <v>20</v>
      </c>
      <c r="E224" s="1">
        <v>0</v>
      </c>
      <c r="F224" s="28">
        <v>0</v>
      </c>
      <c r="G224" s="28">
        <v>0</v>
      </c>
      <c r="H224" s="1">
        <v>8</v>
      </c>
      <c r="I224" s="1">
        <v>1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1</v>
      </c>
    </row>
    <row r="225" spans="2:19" x14ac:dyDescent="0.35">
      <c r="B225" s="1">
        <v>3275</v>
      </c>
      <c r="C225" s="1" t="s">
        <v>22</v>
      </c>
      <c r="D225" s="1" t="s">
        <v>18</v>
      </c>
      <c r="E225" s="1">
        <v>0</v>
      </c>
      <c r="F225" s="28">
        <v>0</v>
      </c>
      <c r="G225" s="28">
        <v>0</v>
      </c>
      <c r="H225" s="1">
        <v>0</v>
      </c>
      <c r="I225" s="1">
        <v>0</v>
      </c>
      <c r="J225" s="1">
        <v>3</v>
      </c>
      <c r="K225" s="1">
        <v>0</v>
      </c>
      <c r="L225" s="1">
        <v>6</v>
      </c>
      <c r="M225" s="1">
        <v>0</v>
      </c>
      <c r="N225" s="1">
        <v>1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</row>
    <row r="226" spans="2:19" x14ac:dyDescent="0.35">
      <c r="B226" s="1">
        <v>3276</v>
      </c>
      <c r="C226" s="1" t="s">
        <v>19</v>
      </c>
      <c r="D226" s="1" t="s">
        <v>20</v>
      </c>
      <c r="E226" s="1">
        <v>5</v>
      </c>
      <c r="F226" s="28">
        <v>0</v>
      </c>
      <c r="G226" s="28">
        <v>0</v>
      </c>
      <c r="H226" s="1">
        <v>0</v>
      </c>
      <c r="I226" s="1">
        <v>2</v>
      </c>
      <c r="J226" s="1">
        <v>0</v>
      </c>
      <c r="K226" s="1">
        <v>0</v>
      </c>
      <c r="L226" s="1">
        <v>0</v>
      </c>
      <c r="M226" s="1">
        <v>0</v>
      </c>
      <c r="N226" s="1">
        <v>3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</row>
    <row r="227" spans="2:19" x14ac:dyDescent="0.35">
      <c r="B227" s="1">
        <v>3277</v>
      </c>
      <c r="C227" s="1" t="s">
        <v>22</v>
      </c>
      <c r="D227" s="1" t="s">
        <v>18</v>
      </c>
      <c r="E227" s="1">
        <v>0</v>
      </c>
      <c r="F227" s="28">
        <v>0</v>
      </c>
      <c r="G227" s="28">
        <v>0</v>
      </c>
      <c r="H227" s="1">
        <v>0</v>
      </c>
      <c r="I227" s="1">
        <v>3</v>
      </c>
      <c r="J227" s="1">
        <v>2</v>
      </c>
      <c r="K227" s="1">
        <v>0</v>
      </c>
      <c r="L227" s="1">
        <v>5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</row>
    <row r="228" spans="2:19" x14ac:dyDescent="0.35">
      <c r="B228" s="1">
        <v>3278</v>
      </c>
      <c r="C228" s="1" t="s">
        <v>22</v>
      </c>
      <c r="D228" s="1" t="s">
        <v>20</v>
      </c>
      <c r="E228" s="1">
        <v>5</v>
      </c>
      <c r="F228" s="28">
        <v>1</v>
      </c>
      <c r="G228" s="28">
        <v>0</v>
      </c>
      <c r="H228" s="1">
        <v>0</v>
      </c>
      <c r="I228" s="1">
        <v>0</v>
      </c>
      <c r="J228" s="1">
        <v>0</v>
      </c>
      <c r="K228" s="1">
        <v>4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</row>
    <row r="229" spans="2:19" x14ac:dyDescent="0.35">
      <c r="B229" s="1">
        <v>3279</v>
      </c>
      <c r="C229" s="1" t="s">
        <v>17</v>
      </c>
      <c r="D229" s="1" t="s">
        <v>20</v>
      </c>
      <c r="E229" s="1">
        <v>5</v>
      </c>
      <c r="F229" s="28">
        <v>2</v>
      </c>
      <c r="G229" s="28">
        <v>0</v>
      </c>
      <c r="H229" s="1">
        <v>0</v>
      </c>
      <c r="I229" s="1">
        <v>3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</row>
    <row r="230" spans="2:19" x14ac:dyDescent="0.35">
      <c r="B230" s="1">
        <v>3280</v>
      </c>
      <c r="C230" s="1" t="s">
        <v>21</v>
      </c>
      <c r="D230" s="1" t="s">
        <v>20</v>
      </c>
      <c r="E230" s="1">
        <v>8</v>
      </c>
      <c r="F230" s="28">
        <v>0</v>
      </c>
      <c r="G230" s="28">
        <v>0</v>
      </c>
      <c r="H230" s="1">
        <v>0</v>
      </c>
      <c r="I230" s="1">
        <v>1</v>
      </c>
      <c r="J230" s="1">
        <v>0</v>
      </c>
      <c r="K230" s="1">
        <v>0</v>
      </c>
      <c r="L230" s="1">
        <v>0</v>
      </c>
      <c r="M230" s="1">
        <v>1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</row>
    <row r="231" spans="2:19" x14ac:dyDescent="0.35">
      <c r="B231" s="1">
        <v>3281</v>
      </c>
      <c r="C231" s="1" t="s">
        <v>17</v>
      </c>
      <c r="D231" s="1" t="s">
        <v>18</v>
      </c>
      <c r="E231" s="1">
        <v>0</v>
      </c>
      <c r="F231" s="28">
        <v>0</v>
      </c>
      <c r="G231" s="28">
        <v>0</v>
      </c>
      <c r="H231" s="1">
        <v>0</v>
      </c>
      <c r="I231" s="1">
        <v>3</v>
      </c>
      <c r="J231" s="1">
        <v>1</v>
      </c>
      <c r="K231" s="1">
        <v>0</v>
      </c>
      <c r="L231" s="1">
        <v>6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</row>
    <row r="232" spans="2:19" x14ac:dyDescent="0.35">
      <c r="B232" s="1">
        <v>3282</v>
      </c>
      <c r="C232" s="1" t="s">
        <v>19</v>
      </c>
      <c r="D232" s="1" t="s">
        <v>18</v>
      </c>
      <c r="E232" s="1">
        <v>0</v>
      </c>
      <c r="F232" s="28">
        <v>0</v>
      </c>
      <c r="G232" s="28">
        <v>0</v>
      </c>
      <c r="H232" s="1">
        <v>2</v>
      </c>
      <c r="I232" s="1">
        <v>2</v>
      </c>
      <c r="J232" s="1">
        <v>0</v>
      </c>
      <c r="K232" s="1">
        <v>0</v>
      </c>
      <c r="L232" s="1">
        <v>6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</row>
    <row r="233" spans="2:19" x14ac:dyDescent="0.35">
      <c r="B233" s="1">
        <v>3283</v>
      </c>
      <c r="C233" s="1" t="s">
        <v>19</v>
      </c>
      <c r="D233" s="1" t="s">
        <v>18</v>
      </c>
      <c r="E233" s="1">
        <v>0</v>
      </c>
      <c r="F233" s="28">
        <v>0</v>
      </c>
      <c r="G233" s="28">
        <v>0</v>
      </c>
      <c r="H233" s="1">
        <v>0</v>
      </c>
      <c r="I233" s="1">
        <v>0</v>
      </c>
      <c r="J233" s="1">
        <v>0</v>
      </c>
      <c r="K233" s="1">
        <v>0</v>
      </c>
      <c r="L233" s="1">
        <v>6</v>
      </c>
      <c r="M233" s="1">
        <v>0</v>
      </c>
      <c r="N233" s="1">
        <v>1</v>
      </c>
      <c r="O233" s="1">
        <v>3</v>
      </c>
      <c r="P233" s="1">
        <v>0</v>
      </c>
      <c r="Q233" s="1">
        <v>0</v>
      </c>
      <c r="R233" s="1">
        <v>0</v>
      </c>
      <c r="S233" s="1">
        <v>0</v>
      </c>
    </row>
    <row r="234" spans="2:19" x14ac:dyDescent="0.35">
      <c r="B234" s="1">
        <v>3284</v>
      </c>
      <c r="C234" s="1" t="s">
        <v>19</v>
      </c>
      <c r="D234" s="1" t="s">
        <v>20</v>
      </c>
      <c r="E234" s="1">
        <v>5</v>
      </c>
      <c r="F234" s="28">
        <v>0</v>
      </c>
      <c r="G234" s="28">
        <v>0</v>
      </c>
      <c r="H234" s="1">
        <v>4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1</v>
      </c>
      <c r="R234" s="1">
        <v>0</v>
      </c>
      <c r="S234" s="1">
        <v>0</v>
      </c>
    </row>
    <row r="235" spans="2:19" x14ac:dyDescent="0.35">
      <c r="B235" s="1">
        <v>3285</v>
      </c>
      <c r="C235" s="1" t="s">
        <v>21</v>
      </c>
      <c r="D235" s="1" t="s">
        <v>18</v>
      </c>
      <c r="E235" s="1">
        <v>0</v>
      </c>
      <c r="F235" s="28">
        <v>0</v>
      </c>
      <c r="G235" s="28">
        <v>0</v>
      </c>
      <c r="H235" s="1">
        <v>0</v>
      </c>
      <c r="I235" s="1">
        <v>0</v>
      </c>
      <c r="J235" s="1">
        <v>0</v>
      </c>
      <c r="K235" s="1">
        <v>0</v>
      </c>
      <c r="L235" s="1">
        <v>6</v>
      </c>
      <c r="M235" s="1">
        <v>0</v>
      </c>
      <c r="N235" s="1">
        <v>1</v>
      </c>
      <c r="O235" s="1">
        <v>3</v>
      </c>
      <c r="P235" s="1">
        <v>0</v>
      </c>
      <c r="Q235" s="1">
        <v>0</v>
      </c>
      <c r="R235" s="1">
        <v>0</v>
      </c>
      <c r="S235" s="1">
        <v>0</v>
      </c>
    </row>
    <row r="236" spans="2:19" x14ac:dyDescent="0.35">
      <c r="B236" s="1">
        <v>3286</v>
      </c>
      <c r="C236" s="1" t="s">
        <v>17</v>
      </c>
      <c r="D236" s="1" t="s">
        <v>20</v>
      </c>
      <c r="E236" s="1">
        <v>8</v>
      </c>
      <c r="F236" s="28">
        <v>0</v>
      </c>
      <c r="G236" s="28">
        <v>0</v>
      </c>
      <c r="H236" s="1">
        <v>1</v>
      </c>
      <c r="I236" s="1">
        <v>1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</row>
    <row r="237" spans="2:19" x14ac:dyDescent="0.35">
      <c r="B237" s="1">
        <v>3287</v>
      </c>
      <c r="C237" s="1" t="s">
        <v>23</v>
      </c>
      <c r="D237" s="1" t="s">
        <v>18</v>
      </c>
      <c r="E237" s="1">
        <v>0</v>
      </c>
      <c r="F237" s="28">
        <v>0</v>
      </c>
      <c r="G237" s="28">
        <v>0</v>
      </c>
      <c r="H237" s="1">
        <v>0</v>
      </c>
      <c r="I237" s="1">
        <v>0</v>
      </c>
      <c r="J237" s="1">
        <v>0</v>
      </c>
      <c r="K237" s="1">
        <v>0</v>
      </c>
      <c r="L237" s="1">
        <v>7</v>
      </c>
      <c r="M237" s="1">
        <v>0</v>
      </c>
      <c r="N237" s="1">
        <v>2</v>
      </c>
      <c r="O237" s="1">
        <v>1</v>
      </c>
      <c r="P237" s="1">
        <v>0</v>
      </c>
      <c r="Q237" s="1">
        <v>0</v>
      </c>
      <c r="R237" s="1">
        <v>0</v>
      </c>
      <c r="S237" s="1">
        <v>0</v>
      </c>
    </row>
    <row r="238" spans="2:19" x14ac:dyDescent="0.35">
      <c r="B238" s="1">
        <v>3288</v>
      </c>
      <c r="C238" s="1" t="s">
        <v>24</v>
      </c>
      <c r="D238" s="1" t="s">
        <v>20</v>
      </c>
      <c r="E238" s="1">
        <v>7</v>
      </c>
      <c r="F238" s="28">
        <v>0</v>
      </c>
      <c r="G238" s="28">
        <v>0</v>
      </c>
      <c r="H238" s="1">
        <v>0</v>
      </c>
      <c r="I238" s="1">
        <v>0</v>
      </c>
      <c r="J238" s="1">
        <v>0</v>
      </c>
      <c r="K238" s="1">
        <v>0</v>
      </c>
      <c r="L238" s="1">
        <v>1</v>
      </c>
      <c r="M238" s="1">
        <v>0</v>
      </c>
      <c r="N238" s="1">
        <v>0</v>
      </c>
      <c r="O238" s="1">
        <v>2</v>
      </c>
      <c r="P238" s="1">
        <v>0</v>
      </c>
      <c r="Q238" s="1">
        <v>0</v>
      </c>
      <c r="R238" s="1">
        <v>0</v>
      </c>
      <c r="S238" s="1">
        <v>0</v>
      </c>
    </row>
    <row r="239" spans="2:19" x14ac:dyDescent="0.35">
      <c r="B239" s="1">
        <v>3289</v>
      </c>
      <c r="C239" s="1" t="s">
        <v>17</v>
      </c>
      <c r="D239" s="1" t="s">
        <v>18</v>
      </c>
      <c r="E239" s="1">
        <v>0</v>
      </c>
      <c r="F239" s="28">
        <v>0</v>
      </c>
      <c r="G239" s="28">
        <v>0</v>
      </c>
      <c r="H239" s="1">
        <v>0</v>
      </c>
      <c r="I239" s="1">
        <v>0</v>
      </c>
      <c r="J239" s="1">
        <v>2</v>
      </c>
      <c r="K239" s="1">
        <v>0</v>
      </c>
      <c r="L239" s="1">
        <v>5</v>
      </c>
      <c r="M239" s="1">
        <v>0</v>
      </c>
      <c r="N239" s="1">
        <v>0</v>
      </c>
      <c r="O239" s="1">
        <v>0</v>
      </c>
      <c r="P239" s="1">
        <v>3</v>
      </c>
      <c r="Q239" s="1">
        <v>0</v>
      </c>
      <c r="R239" s="1">
        <v>0</v>
      </c>
      <c r="S239" s="1">
        <v>0</v>
      </c>
    </row>
    <row r="240" spans="2:19" x14ac:dyDescent="0.35">
      <c r="B240" s="1">
        <v>3290</v>
      </c>
      <c r="C240" s="1" t="s">
        <v>19</v>
      </c>
      <c r="D240" s="1" t="s">
        <v>18</v>
      </c>
      <c r="E240" s="1">
        <v>0</v>
      </c>
      <c r="F240" s="28">
        <v>0</v>
      </c>
      <c r="G240" s="28">
        <v>0</v>
      </c>
      <c r="H240" s="1">
        <v>0</v>
      </c>
      <c r="I240" s="1">
        <v>0</v>
      </c>
      <c r="J240" s="1">
        <v>1</v>
      </c>
      <c r="K240" s="1">
        <v>0</v>
      </c>
      <c r="L240" s="1">
        <v>6</v>
      </c>
      <c r="M240" s="1">
        <v>0</v>
      </c>
      <c r="N240" s="1">
        <v>3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</row>
    <row r="241" spans="2:19" x14ac:dyDescent="0.35">
      <c r="B241" s="1">
        <v>3291</v>
      </c>
      <c r="C241" s="1" t="s">
        <v>19</v>
      </c>
      <c r="D241" s="1" t="s">
        <v>18</v>
      </c>
      <c r="E241" s="1">
        <v>8</v>
      </c>
      <c r="F241" s="28">
        <v>0</v>
      </c>
      <c r="G241" s="28">
        <v>0</v>
      </c>
      <c r="H241" s="1">
        <v>0</v>
      </c>
      <c r="I241" s="1">
        <v>0</v>
      </c>
      <c r="J241" s="1">
        <v>0</v>
      </c>
      <c r="K241" s="1">
        <v>1</v>
      </c>
      <c r="L241" s="1">
        <v>0</v>
      </c>
      <c r="M241" s="1">
        <v>0</v>
      </c>
      <c r="N241" s="1">
        <v>0</v>
      </c>
      <c r="O241" s="1">
        <v>1</v>
      </c>
      <c r="P241" s="1">
        <v>0</v>
      </c>
      <c r="Q241" s="1">
        <v>0</v>
      </c>
      <c r="R241" s="1">
        <v>0</v>
      </c>
      <c r="S241" s="1">
        <v>0</v>
      </c>
    </row>
    <row r="242" spans="2:19" x14ac:dyDescent="0.35">
      <c r="B242" s="1">
        <v>3292</v>
      </c>
      <c r="C242" s="1" t="s">
        <v>24</v>
      </c>
      <c r="D242" s="1" t="s">
        <v>20</v>
      </c>
      <c r="E242" s="1">
        <v>6</v>
      </c>
      <c r="F242" s="28">
        <v>0</v>
      </c>
      <c r="G242" s="28">
        <v>0</v>
      </c>
      <c r="H242" s="1">
        <v>3</v>
      </c>
      <c r="I242" s="1">
        <v>1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</row>
    <row r="243" spans="2:19" x14ac:dyDescent="0.35">
      <c r="B243" s="1">
        <v>3293</v>
      </c>
      <c r="C243" s="1" t="s">
        <v>21</v>
      </c>
      <c r="D243" s="1" t="s">
        <v>18</v>
      </c>
      <c r="E243" s="1">
        <v>0</v>
      </c>
      <c r="F243" s="28">
        <v>0</v>
      </c>
      <c r="G243" s="28">
        <v>1</v>
      </c>
      <c r="H243" s="1">
        <v>0</v>
      </c>
      <c r="I243" s="1">
        <v>0</v>
      </c>
      <c r="J243" s="1">
        <v>1</v>
      </c>
      <c r="K243" s="1">
        <v>0</v>
      </c>
      <c r="L243" s="1">
        <v>0</v>
      </c>
      <c r="M243" s="1">
        <v>0</v>
      </c>
      <c r="N243" s="1">
        <v>8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</row>
    <row r="244" spans="2:19" x14ac:dyDescent="0.35">
      <c r="B244" s="1">
        <v>3294</v>
      </c>
      <c r="C244" s="1" t="s">
        <v>22</v>
      </c>
      <c r="D244" s="1" t="s">
        <v>18</v>
      </c>
      <c r="E244" s="1">
        <v>0</v>
      </c>
      <c r="F244" s="28">
        <v>0</v>
      </c>
      <c r="G244" s="28">
        <v>0</v>
      </c>
      <c r="H244" s="1">
        <v>0</v>
      </c>
      <c r="I244" s="1">
        <v>1</v>
      </c>
      <c r="J244" s="1">
        <v>1</v>
      </c>
      <c r="K244" s="1">
        <v>0</v>
      </c>
      <c r="L244" s="1">
        <v>0</v>
      </c>
      <c r="M244" s="1">
        <v>0</v>
      </c>
      <c r="N244" s="1">
        <v>8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5" spans="2:19" x14ac:dyDescent="0.35">
      <c r="B245" s="1">
        <v>3295</v>
      </c>
      <c r="C245" s="1" t="s">
        <v>22</v>
      </c>
      <c r="D245" s="1" t="s">
        <v>18</v>
      </c>
      <c r="E245" s="1">
        <v>0</v>
      </c>
      <c r="F245" s="28">
        <v>0</v>
      </c>
      <c r="G245" s="28">
        <v>0</v>
      </c>
      <c r="H245" s="1">
        <v>0</v>
      </c>
      <c r="I245" s="1">
        <v>2</v>
      </c>
      <c r="J245" s="1">
        <v>3</v>
      </c>
      <c r="K245" s="1">
        <v>0</v>
      </c>
      <c r="L245" s="1">
        <v>0</v>
      </c>
      <c r="M245" s="1">
        <v>0</v>
      </c>
      <c r="N245" s="1">
        <v>5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</row>
    <row r="246" spans="2:19" x14ac:dyDescent="0.35">
      <c r="B246" s="1">
        <v>3296</v>
      </c>
      <c r="C246" s="1" t="s">
        <v>19</v>
      </c>
      <c r="D246" s="1" t="s">
        <v>20</v>
      </c>
      <c r="E246" s="1">
        <v>0</v>
      </c>
      <c r="F246" s="28">
        <v>0</v>
      </c>
      <c r="G246" s="28">
        <v>0</v>
      </c>
      <c r="H246" s="1">
        <v>1</v>
      </c>
      <c r="I246" s="1">
        <v>0</v>
      </c>
      <c r="J246" s="1">
        <v>2</v>
      </c>
      <c r="K246" s="1">
        <v>0</v>
      </c>
      <c r="L246" s="1">
        <v>0</v>
      </c>
      <c r="M246" s="1">
        <v>0</v>
      </c>
      <c r="N246" s="1">
        <v>7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</row>
    <row r="247" spans="2:19" x14ac:dyDescent="0.35">
      <c r="B247" s="1">
        <v>3297</v>
      </c>
      <c r="C247" s="1" t="s">
        <v>23</v>
      </c>
      <c r="D247" s="1" t="s">
        <v>20</v>
      </c>
      <c r="E247" s="1">
        <v>0</v>
      </c>
      <c r="F247" s="28">
        <v>0</v>
      </c>
      <c r="G247" s="28">
        <v>0</v>
      </c>
      <c r="H247" s="1">
        <v>0</v>
      </c>
      <c r="I247" s="1">
        <v>1</v>
      </c>
      <c r="J247" s="1">
        <v>3</v>
      </c>
      <c r="K247" s="1">
        <v>0</v>
      </c>
      <c r="L247" s="1">
        <v>0</v>
      </c>
      <c r="M247" s="1">
        <v>0</v>
      </c>
      <c r="N247" s="1">
        <v>6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</row>
    <row r="248" spans="2:19" x14ac:dyDescent="0.35">
      <c r="B248" s="1">
        <v>3298</v>
      </c>
      <c r="C248" s="1" t="s">
        <v>17</v>
      </c>
      <c r="D248" s="1" t="s">
        <v>18</v>
      </c>
      <c r="E248" s="1">
        <v>0</v>
      </c>
      <c r="F248" s="28">
        <v>0</v>
      </c>
      <c r="G248" s="28">
        <v>0</v>
      </c>
      <c r="H248" s="1">
        <v>0</v>
      </c>
      <c r="I248" s="1">
        <v>1</v>
      </c>
      <c r="J248" s="1">
        <v>2</v>
      </c>
      <c r="K248" s="1">
        <v>0</v>
      </c>
      <c r="L248" s="1">
        <v>0</v>
      </c>
      <c r="M248" s="1">
        <v>0</v>
      </c>
      <c r="N248" s="1">
        <v>7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</row>
    <row r="249" spans="2:19" x14ac:dyDescent="0.35">
      <c r="B249" s="1">
        <v>3299</v>
      </c>
      <c r="C249" s="1" t="s">
        <v>22</v>
      </c>
      <c r="D249" s="1" t="s">
        <v>18</v>
      </c>
      <c r="E249" s="1">
        <v>0</v>
      </c>
      <c r="F249" s="28">
        <v>0</v>
      </c>
      <c r="G249" s="28">
        <v>0</v>
      </c>
      <c r="H249" s="1">
        <v>0</v>
      </c>
      <c r="I249" s="1">
        <v>0</v>
      </c>
      <c r="J249" s="1">
        <v>3</v>
      </c>
      <c r="K249" s="1">
        <v>0</v>
      </c>
      <c r="L249" s="1">
        <v>2</v>
      </c>
      <c r="M249" s="1">
        <v>0</v>
      </c>
      <c r="N249" s="1">
        <v>5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</row>
    <row r="250" spans="2:19" x14ac:dyDescent="0.35">
      <c r="B250" s="1">
        <v>3300</v>
      </c>
      <c r="C250" s="1" t="s">
        <v>19</v>
      </c>
      <c r="D250" s="1" t="s">
        <v>20</v>
      </c>
      <c r="E250" s="1">
        <v>0</v>
      </c>
      <c r="F250" s="28">
        <v>2</v>
      </c>
      <c r="G250" s="28">
        <v>0</v>
      </c>
      <c r="H250" s="1">
        <v>0</v>
      </c>
      <c r="I250" s="1">
        <v>0</v>
      </c>
      <c r="J250" s="1">
        <v>2</v>
      </c>
      <c r="K250" s="1">
        <v>0</v>
      </c>
      <c r="L250" s="1">
        <v>0</v>
      </c>
      <c r="M250" s="1">
        <v>0</v>
      </c>
      <c r="N250" s="1">
        <v>6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</row>
    <row r="251" spans="2:19" x14ac:dyDescent="0.35">
      <c r="B251" s="1">
        <v>3301</v>
      </c>
      <c r="C251" s="1" t="s">
        <v>19</v>
      </c>
      <c r="D251" s="1" t="s">
        <v>18</v>
      </c>
      <c r="E251" s="1">
        <v>0</v>
      </c>
      <c r="F251" s="28">
        <v>0</v>
      </c>
      <c r="G251" s="28">
        <v>0</v>
      </c>
      <c r="H251" s="1">
        <v>0</v>
      </c>
      <c r="I251" s="1">
        <v>1</v>
      </c>
      <c r="J251" s="1">
        <v>1</v>
      </c>
      <c r="K251" s="1">
        <v>0</v>
      </c>
      <c r="L251" s="1">
        <v>0</v>
      </c>
      <c r="M251" s="1">
        <v>0</v>
      </c>
      <c r="N251" s="1">
        <v>8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</row>
    <row r="252" spans="2:19" x14ac:dyDescent="0.35">
      <c r="B252" s="1">
        <v>3302</v>
      </c>
      <c r="C252" s="1" t="s">
        <v>21</v>
      </c>
      <c r="D252" s="1" t="s">
        <v>18</v>
      </c>
      <c r="E252" s="1">
        <v>0</v>
      </c>
      <c r="F252" s="28">
        <v>0</v>
      </c>
      <c r="G252" s="28">
        <v>0</v>
      </c>
      <c r="H252" s="1">
        <v>0</v>
      </c>
      <c r="I252" s="1">
        <v>0</v>
      </c>
      <c r="J252" s="1">
        <v>2</v>
      </c>
      <c r="K252" s="1">
        <v>0</v>
      </c>
      <c r="L252" s="1">
        <v>0</v>
      </c>
      <c r="M252" s="1">
        <v>0</v>
      </c>
      <c r="N252" s="1">
        <v>7</v>
      </c>
      <c r="O252" s="1">
        <v>0</v>
      </c>
      <c r="P252" s="1">
        <v>1</v>
      </c>
      <c r="Q252" s="1">
        <v>0</v>
      </c>
      <c r="R252" s="1">
        <v>0</v>
      </c>
      <c r="S252" s="1">
        <v>0</v>
      </c>
    </row>
    <row r="253" spans="2:19" x14ac:dyDescent="0.35">
      <c r="B253" s="1">
        <v>3303</v>
      </c>
      <c r="C253" s="1" t="s">
        <v>17</v>
      </c>
      <c r="D253" s="1" t="s">
        <v>18</v>
      </c>
      <c r="E253" s="1">
        <v>0</v>
      </c>
      <c r="F253" s="28">
        <v>0</v>
      </c>
      <c r="G253" s="28">
        <v>0</v>
      </c>
      <c r="H253" s="1">
        <v>0</v>
      </c>
      <c r="I253" s="1">
        <v>0</v>
      </c>
      <c r="J253" s="1">
        <v>2</v>
      </c>
      <c r="K253" s="1">
        <v>1</v>
      </c>
      <c r="L253" s="1">
        <v>0</v>
      </c>
      <c r="M253" s="1">
        <v>0</v>
      </c>
      <c r="N253" s="1">
        <v>7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</row>
    <row r="254" spans="2:19" x14ac:dyDescent="0.35">
      <c r="B254" s="1">
        <v>3304</v>
      </c>
      <c r="C254" s="1" t="s">
        <v>22</v>
      </c>
      <c r="D254" s="1" t="s">
        <v>20</v>
      </c>
      <c r="E254" s="1">
        <v>0</v>
      </c>
      <c r="F254" s="28">
        <v>0</v>
      </c>
      <c r="G254" s="28">
        <v>0</v>
      </c>
      <c r="H254" s="1">
        <v>0</v>
      </c>
      <c r="I254" s="1">
        <v>0</v>
      </c>
      <c r="J254" s="1">
        <v>0</v>
      </c>
      <c r="K254" s="1">
        <v>0</v>
      </c>
      <c r="L254" s="1">
        <v>1</v>
      </c>
      <c r="M254" s="1">
        <v>3</v>
      </c>
      <c r="N254" s="1">
        <v>6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</row>
    <row r="255" spans="2:19" x14ac:dyDescent="0.35">
      <c r="B255" s="1">
        <v>3305</v>
      </c>
      <c r="C255" s="1" t="s">
        <v>21</v>
      </c>
      <c r="D255" s="1" t="s">
        <v>18</v>
      </c>
      <c r="E255" s="1">
        <v>0</v>
      </c>
      <c r="F255" s="28">
        <v>0</v>
      </c>
      <c r="G255" s="28">
        <v>0</v>
      </c>
      <c r="H255" s="1">
        <v>0</v>
      </c>
      <c r="I255" s="1">
        <v>0</v>
      </c>
      <c r="J255" s="1">
        <v>3</v>
      </c>
      <c r="K255" s="1">
        <v>0</v>
      </c>
      <c r="L255" s="1">
        <v>1</v>
      </c>
      <c r="M255" s="1">
        <v>0</v>
      </c>
      <c r="N255" s="1">
        <v>6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</row>
    <row r="256" spans="2:19" x14ac:dyDescent="0.35">
      <c r="B256" s="1">
        <v>3306</v>
      </c>
      <c r="C256" s="1" t="s">
        <v>19</v>
      </c>
      <c r="D256" s="1" t="s">
        <v>18</v>
      </c>
      <c r="E256" s="1">
        <v>0</v>
      </c>
      <c r="F256" s="28">
        <v>0</v>
      </c>
      <c r="G256" s="28">
        <v>0</v>
      </c>
      <c r="H256" s="1">
        <v>0</v>
      </c>
      <c r="I256" s="1">
        <v>1</v>
      </c>
      <c r="J256" s="1">
        <v>2</v>
      </c>
      <c r="K256" s="1">
        <v>0</v>
      </c>
      <c r="L256" s="1">
        <v>0</v>
      </c>
      <c r="M256" s="1">
        <v>0</v>
      </c>
      <c r="N256" s="1">
        <v>7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</row>
    <row r="257" spans="2:19" x14ac:dyDescent="0.35">
      <c r="B257" s="1">
        <v>3307</v>
      </c>
      <c r="C257" s="1" t="s">
        <v>19</v>
      </c>
      <c r="D257" s="1" t="s">
        <v>18</v>
      </c>
      <c r="E257" s="1">
        <v>0</v>
      </c>
      <c r="F257" s="28">
        <v>0</v>
      </c>
      <c r="G257" s="28">
        <v>0</v>
      </c>
      <c r="H257" s="1">
        <v>1</v>
      </c>
      <c r="I257" s="1">
        <v>0</v>
      </c>
      <c r="J257" s="1">
        <v>4</v>
      </c>
      <c r="K257" s="1">
        <v>0</v>
      </c>
      <c r="L257" s="1">
        <v>0</v>
      </c>
      <c r="M257" s="1">
        <v>0</v>
      </c>
      <c r="N257" s="1">
        <v>5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</row>
    <row r="258" spans="2:19" x14ac:dyDescent="0.35">
      <c r="B258" s="1">
        <v>3308</v>
      </c>
      <c r="C258" s="1" t="s">
        <v>19</v>
      </c>
      <c r="D258" s="1" t="s">
        <v>20</v>
      </c>
      <c r="E258" s="1">
        <v>1</v>
      </c>
      <c r="F258" s="28">
        <v>7</v>
      </c>
      <c r="G258" s="28">
        <v>0</v>
      </c>
      <c r="H258" s="1">
        <v>2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</row>
    <row r="259" spans="2:19" x14ac:dyDescent="0.35">
      <c r="B259" s="1">
        <v>3309</v>
      </c>
      <c r="C259" s="1" t="s">
        <v>21</v>
      </c>
      <c r="D259" s="1" t="s">
        <v>18</v>
      </c>
      <c r="E259" s="1">
        <v>0</v>
      </c>
      <c r="F259" s="28">
        <v>8</v>
      </c>
      <c r="G259" s="28">
        <v>0</v>
      </c>
      <c r="H259" s="1">
        <v>0</v>
      </c>
      <c r="I259" s="1">
        <v>1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1</v>
      </c>
      <c r="R259" s="1">
        <v>0</v>
      </c>
      <c r="S259" s="1">
        <v>0</v>
      </c>
    </row>
    <row r="260" spans="2:19" x14ac:dyDescent="0.35">
      <c r="B260" s="1">
        <v>3310</v>
      </c>
      <c r="C260" s="1" t="s">
        <v>17</v>
      </c>
      <c r="D260" s="1" t="s">
        <v>20</v>
      </c>
      <c r="E260" s="1">
        <v>2</v>
      </c>
      <c r="F260" s="28">
        <v>6</v>
      </c>
      <c r="G260" s="28">
        <v>0</v>
      </c>
      <c r="H260" s="1">
        <v>2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</row>
    <row r="261" spans="2:19" x14ac:dyDescent="0.35">
      <c r="B261" s="1">
        <v>3311</v>
      </c>
      <c r="C261" s="1" t="s">
        <v>19</v>
      </c>
      <c r="D261" s="1" t="s">
        <v>20</v>
      </c>
      <c r="E261" s="1">
        <v>0</v>
      </c>
      <c r="F261" s="28">
        <v>6</v>
      </c>
      <c r="G261" s="28">
        <v>0</v>
      </c>
      <c r="H261" s="1">
        <v>2</v>
      </c>
      <c r="I261" s="1">
        <v>2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</row>
    <row r="262" spans="2:19" x14ac:dyDescent="0.35">
      <c r="B262" s="1">
        <v>3312</v>
      </c>
      <c r="C262" s="1" t="s">
        <v>17</v>
      </c>
      <c r="D262" s="1" t="s">
        <v>20</v>
      </c>
      <c r="E262" s="1">
        <v>0</v>
      </c>
      <c r="F262" s="28">
        <v>8</v>
      </c>
      <c r="G262" s="28">
        <v>0</v>
      </c>
      <c r="H262" s="1">
        <v>0</v>
      </c>
      <c r="I262" s="1">
        <v>0</v>
      </c>
      <c r="J262" s="1">
        <v>1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1</v>
      </c>
    </row>
    <row r="263" spans="2:19" x14ac:dyDescent="0.35">
      <c r="B263" s="1">
        <v>3313</v>
      </c>
      <c r="C263" s="1" t="s">
        <v>17</v>
      </c>
      <c r="D263" s="1" t="s">
        <v>20</v>
      </c>
      <c r="E263" s="1">
        <v>0</v>
      </c>
      <c r="F263" s="28">
        <v>3</v>
      </c>
      <c r="G263" s="28">
        <v>0</v>
      </c>
      <c r="H263" s="1">
        <v>6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1</v>
      </c>
      <c r="R263" s="1">
        <v>0</v>
      </c>
      <c r="S263" s="1">
        <v>0</v>
      </c>
    </row>
    <row r="264" spans="2:19" x14ac:dyDescent="0.35">
      <c r="B264" s="1">
        <v>3314</v>
      </c>
      <c r="C264" s="1" t="s">
        <v>23</v>
      </c>
      <c r="D264" s="1" t="s">
        <v>20</v>
      </c>
      <c r="E264" s="1">
        <v>0</v>
      </c>
      <c r="F264" s="28">
        <v>10</v>
      </c>
      <c r="G264" s="28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</row>
    <row r="265" spans="2:19" x14ac:dyDescent="0.35">
      <c r="B265" s="1">
        <v>3315</v>
      </c>
      <c r="C265" s="1" t="s">
        <v>19</v>
      </c>
      <c r="D265" s="1" t="s">
        <v>20</v>
      </c>
      <c r="E265" s="1">
        <v>0</v>
      </c>
      <c r="F265" s="28">
        <v>7</v>
      </c>
      <c r="G265" s="28">
        <v>0</v>
      </c>
      <c r="H265" s="1">
        <v>0</v>
      </c>
      <c r="I265" s="1">
        <v>0</v>
      </c>
      <c r="J265" s="1">
        <v>2</v>
      </c>
      <c r="K265" s="1">
        <v>0</v>
      </c>
      <c r="L265" s="1">
        <v>0</v>
      </c>
      <c r="M265" s="1">
        <v>0</v>
      </c>
      <c r="N265" s="1">
        <v>1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</row>
    <row r="266" spans="2:19" x14ac:dyDescent="0.35">
      <c r="B266" s="1">
        <v>3316</v>
      </c>
      <c r="C266" s="1" t="s">
        <v>24</v>
      </c>
      <c r="D266" s="1" t="s">
        <v>20</v>
      </c>
      <c r="E266" s="1">
        <v>0</v>
      </c>
      <c r="F266" s="28">
        <v>8</v>
      </c>
      <c r="G266" s="28">
        <v>0</v>
      </c>
      <c r="H266" s="1">
        <v>1</v>
      </c>
      <c r="I266" s="1">
        <v>1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</row>
    <row r="267" spans="2:19" x14ac:dyDescent="0.35">
      <c r="B267" s="1">
        <v>3317</v>
      </c>
      <c r="C267" s="1" t="s">
        <v>22</v>
      </c>
      <c r="D267" s="1" t="s">
        <v>20</v>
      </c>
      <c r="E267" s="1">
        <v>0</v>
      </c>
      <c r="F267" s="28">
        <v>5</v>
      </c>
      <c r="G267" s="28">
        <v>0</v>
      </c>
      <c r="H267" s="1">
        <v>0</v>
      </c>
      <c r="I267" s="1">
        <v>0</v>
      </c>
      <c r="J267" s="1">
        <v>0</v>
      </c>
      <c r="K267" s="1">
        <v>1</v>
      </c>
      <c r="L267" s="1">
        <v>0</v>
      </c>
      <c r="M267" s="1">
        <v>0</v>
      </c>
      <c r="N267" s="1">
        <v>4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</row>
    <row r="268" spans="2:19" x14ac:dyDescent="0.35">
      <c r="B268" s="1">
        <v>3318</v>
      </c>
      <c r="C268" s="1" t="s">
        <v>19</v>
      </c>
      <c r="D268" s="1" t="s">
        <v>20</v>
      </c>
      <c r="E268" s="1">
        <v>0</v>
      </c>
      <c r="F268" s="28">
        <v>5</v>
      </c>
      <c r="G268" s="28">
        <v>0</v>
      </c>
      <c r="H268" s="1">
        <v>5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</row>
    <row r="269" spans="2:19" x14ac:dyDescent="0.35">
      <c r="B269" s="1">
        <v>3319</v>
      </c>
      <c r="C269" s="1" t="s">
        <v>19</v>
      </c>
      <c r="D269" s="1" t="s">
        <v>18</v>
      </c>
      <c r="E269" s="1">
        <v>0</v>
      </c>
      <c r="F269" s="28">
        <v>8</v>
      </c>
      <c r="G269" s="28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1</v>
      </c>
      <c r="O269" s="1">
        <v>0</v>
      </c>
      <c r="P269" s="1">
        <v>0</v>
      </c>
      <c r="Q269" s="1">
        <v>0</v>
      </c>
      <c r="R269" s="1">
        <v>0</v>
      </c>
      <c r="S269" s="1">
        <v>1</v>
      </c>
    </row>
    <row r="270" spans="2:19" x14ac:dyDescent="0.35">
      <c r="B270" s="1">
        <v>3320</v>
      </c>
      <c r="C270" s="1" t="s">
        <v>19</v>
      </c>
      <c r="D270" s="1" t="s">
        <v>20</v>
      </c>
      <c r="E270" s="1">
        <v>2</v>
      </c>
      <c r="F270" s="28">
        <v>6</v>
      </c>
      <c r="G270" s="28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2</v>
      </c>
      <c r="P270" s="1">
        <v>0</v>
      </c>
      <c r="Q270" s="1">
        <v>0</v>
      </c>
      <c r="R270" s="1">
        <v>0</v>
      </c>
      <c r="S270" s="1">
        <v>0</v>
      </c>
    </row>
    <row r="271" spans="2:19" x14ac:dyDescent="0.35">
      <c r="B271" s="1">
        <v>3321</v>
      </c>
      <c r="C271" s="1" t="s">
        <v>17</v>
      </c>
      <c r="D271" s="1" t="s">
        <v>20</v>
      </c>
      <c r="E271" s="1">
        <v>0</v>
      </c>
      <c r="F271" s="28">
        <v>5</v>
      </c>
      <c r="G271" s="28">
        <v>0</v>
      </c>
      <c r="H271" s="1">
        <v>0</v>
      </c>
      <c r="I271" s="1">
        <v>4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1</v>
      </c>
      <c r="R271" s="1">
        <v>0</v>
      </c>
      <c r="S271" s="1">
        <v>0</v>
      </c>
    </row>
    <row r="272" spans="2:19" x14ac:dyDescent="0.35">
      <c r="B272" s="1">
        <v>3322</v>
      </c>
      <c r="C272" s="1" t="s">
        <v>19</v>
      </c>
      <c r="D272" s="1" t="s">
        <v>18</v>
      </c>
      <c r="E272" s="1">
        <v>0</v>
      </c>
      <c r="F272" s="28">
        <v>6</v>
      </c>
      <c r="G272" s="28">
        <v>0</v>
      </c>
      <c r="H272" s="1">
        <v>0</v>
      </c>
      <c r="I272" s="1">
        <v>0</v>
      </c>
      <c r="J272" s="1">
        <v>0</v>
      </c>
      <c r="K272" s="1">
        <v>3</v>
      </c>
      <c r="L272" s="1">
        <v>0</v>
      </c>
      <c r="M272" s="1">
        <v>1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</row>
    <row r="273" spans="2:19" x14ac:dyDescent="0.35">
      <c r="B273" s="1">
        <v>3323</v>
      </c>
      <c r="C273" s="1" t="s">
        <v>21</v>
      </c>
      <c r="D273" s="1" t="s">
        <v>18</v>
      </c>
      <c r="E273" s="1">
        <v>0</v>
      </c>
      <c r="F273" s="28">
        <v>6</v>
      </c>
      <c r="G273" s="28">
        <v>0</v>
      </c>
      <c r="H273" s="1">
        <v>0</v>
      </c>
      <c r="I273" s="1">
        <v>0</v>
      </c>
      <c r="J273" s="1">
        <v>3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1</v>
      </c>
      <c r="R273" s="1">
        <v>0</v>
      </c>
      <c r="S273" s="1">
        <v>0</v>
      </c>
    </row>
    <row r="274" spans="2:19" x14ac:dyDescent="0.35">
      <c r="B274" s="1">
        <v>3324</v>
      </c>
      <c r="C274" s="1" t="s">
        <v>23</v>
      </c>
      <c r="D274" s="1" t="s">
        <v>18</v>
      </c>
      <c r="E274" s="1">
        <v>0</v>
      </c>
      <c r="F274" s="28">
        <v>5</v>
      </c>
      <c r="G274" s="28">
        <v>0</v>
      </c>
      <c r="H274" s="1">
        <v>0</v>
      </c>
      <c r="I274" s="1">
        <v>0</v>
      </c>
      <c r="J274" s="1">
        <v>1</v>
      </c>
      <c r="K274" s="1">
        <v>0</v>
      </c>
      <c r="L274" s="1">
        <v>0</v>
      </c>
      <c r="M274" s="1">
        <v>0</v>
      </c>
      <c r="N274" s="1">
        <v>4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</row>
    <row r="275" spans="2:19" x14ac:dyDescent="0.35">
      <c r="B275" s="1">
        <v>3325</v>
      </c>
      <c r="C275" s="1" t="s">
        <v>19</v>
      </c>
      <c r="D275" s="1" t="s">
        <v>20</v>
      </c>
      <c r="E275" s="1">
        <v>4</v>
      </c>
      <c r="F275" s="28">
        <v>0</v>
      </c>
      <c r="G275" s="28">
        <v>0</v>
      </c>
      <c r="H275" s="1">
        <v>5</v>
      </c>
      <c r="I275" s="1">
        <v>0</v>
      </c>
      <c r="J275" s="1">
        <v>0</v>
      </c>
      <c r="K275" s="1">
        <v>1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</row>
    <row r="276" spans="2:19" x14ac:dyDescent="0.35">
      <c r="B276" s="1">
        <v>3326</v>
      </c>
      <c r="C276" s="1" t="s">
        <v>19</v>
      </c>
      <c r="D276" s="1" t="s">
        <v>18</v>
      </c>
      <c r="E276" s="1">
        <v>0</v>
      </c>
      <c r="F276" s="28">
        <v>0</v>
      </c>
      <c r="G276" s="28">
        <v>2</v>
      </c>
      <c r="H276" s="1">
        <v>5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3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</row>
    <row r="277" spans="2:19" x14ac:dyDescent="0.35">
      <c r="B277" s="1">
        <v>3327</v>
      </c>
      <c r="C277" s="1" t="s">
        <v>21</v>
      </c>
      <c r="D277" s="1" t="s">
        <v>20</v>
      </c>
      <c r="E277" s="1">
        <v>0</v>
      </c>
      <c r="F277" s="28">
        <v>0</v>
      </c>
      <c r="G277" s="28">
        <v>0</v>
      </c>
      <c r="H277" s="1">
        <v>8</v>
      </c>
      <c r="I277" s="1">
        <v>1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1</v>
      </c>
      <c r="R277" s="1">
        <v>0</v>
      </c>
      <c r="S277" s="1">
        <v>0</v>
      </c>
    </row>
    <row r="278" spans="2:19" x14ac:dyDescent="0.35">
      <c r="B278" s="1">
        <v>3328</v>
      </c>
      <c r="C278" s="1" t="s">
        <v>22</v>
      </c>
      <c r="D278" s="1" t="s">
        <v>18</v>
      </c>
      <c r="E278" s="1">
        <v>0</v>
      </c>
      <c r="F278" s="28">
        <v>0</v>
      </c>
      <c r="G278" s="28">
        <v>0</v>
      </c>
      <c r="H278" s="1">
        <v>7</v>
      </c>
      <c r="I278" s="1">
        <v>0</v>
      </c>
      <c r="J278" s="1">
        <v>0</v>
      </c>
      <c r="K278" s="1">
        <v>0</v>
      </c>
      <c r="L278" s="1">
        <v>1</v>
      </c>
      <c r="M278" s="1">
        <v>0</v>
      </c>
      <c r="N278" s="1">
        <v>2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</row>
    <row r="279" spans="2:19" x14ac:dyDescent="0.35">
      <c r="B279" s="1">
        <v>3329</v>
      </c>
      <c r="C279" s="1" t="s">
        <v>19</v>
      </c>
      <c r="D279" s="1" t="s">
        <v>18</v>
      </c>
      <c r="E279" s="1">
        <v>0</v>
      </c>
      <c r="F279" s="28">
        <v>0</v>
      </c>
      <c r="G279" s="28">
        <v>0</v>
      </c>
      <c r="H279" s="1">
        <v>6</v>
      </c>
      <c r="I279" s="1">
        <v>2</v>
      </c>
      <c r="J279" s="1">
        <v>0</v>
      </c>
      <c r="K279" s="1">
        <v>0</v>
      </c>
      <c r="L279" s="1">
        <v>0</v>
      </c>
      <c r="M279" s="1">
        <v>0</v>
      </c>
      <c r="N279" s="1">
        <v>2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</row>
    <row r="280" spans="2:19" x14ac:dyDescent="0.35">
      <c r="B280" s="1">
        <v>3330</v>
      </c>
      <c r="C280" s="1" t="s">
        <v>19</v>
      </c>
      <c r="D280" s="1" t="s">
        <v>20</v>
      </c>
      <c r="E280" s="1">
        <v>0</v>
      </c>
      <c r="F280" s="28">
        <v>0</v>
      </c>
      <c r="G280" s="28">
        <v>0</v>
      </c>
      <c r="H280" s="1">
        <v>6</v>
      </c>
      <c r="I280" s="1">
        <v>2</v>
      </c>
      <c r="J280" s="1">
        <v>0</v>
      </c>
      <c r="K280" s="1">
        <v>0</v>
      </c>
      <c r="L280" s="1">
        <v>0</v>
      </c>
      <c r="M280" s="1">
        <v>0</v>
      </c>
      <c r="N280" s="1">
        <v>2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</row>
    <row r="281" spans="2:19" x14ac:dyDescent="0.35">
      <c r="B281" s="1">
        <v>3331</v>
      </c>
      <c r="C281" s="1" t="s">
        <v>21</v>
      </c>
      <c r="D281" s="1" t="s">
        <v>20</v>
      </c>
      <c r="E281" s="1">
        <v>0</v>
      </c>
      <c r="F281" s="28">
        <v>0</v>
      </c>
      <c r="G281" s="28">
        <v>1</v>
      </c>
      <c r="H281" s="1">
        <v>7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2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</row>
    <row r="282" spans="2:19" x14ac:dyDescent="0.35">
      <c r="B282" s="1">
        <v>3332</v>
      </c>
      <c r="C282" s="1" t="s">
        <v>26</v>
      </c>
      <c r="D282" s="1" t="s">
        <v>20</v>
      </c>
      <c r="E282" s="1">
        <v>0</v>
      </c>
      <c r="F282" s="28">
        <v>0</v>
      </c>
      <c r="G282" s="28">
        <v>0</v>
      </c>
      <c r="H282" s="1">
        <v>6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3</v>
      </c>
      <c r="O282" s="1">
        <v>0</v>
      </c>
      <c r="P282" s="1">
        <v>0</v>
      </c>
      <c r="Q282" s="1">
        <v>0</v>
      </c>
      <c r="R282" s="1">
        <v>0</v>
      </c>
      <c r="S282" s="1">
        <v>1</v>
      </c>
    </row>
    <row r="283" spans="2:19" x14ac:dyDescent="0.35">
      <c r="B283" s="1">
        <v>3333</v>
      </c>
      <c r="C283" s="1" t="s">
        <v>19</v>
      </c>
      <c r="D283" s="1" t="s">
        <v>18</v>
      </c>
      <c r="E283" s="1">
        <v>0</v>
      </c>
      <c r="F283" s="28">
        <v>0</v>
      </c>
      <c r="G283" s="28">
        <v>0</v>
      </c>
      <c r="H283" s="1">
        <v>5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4</v>
      </c>
      <c r="O283" s="1">
        <v>1</v>
      </c>
      <c r="P283" s="1">
        <v>0</v>
      </c>
      <c r="Q283" s="1">
        <v>0</v>
      </c>
      <c r="R283" s="1">
        <v>0</v>
      </c>
      <c r="S283" s="1">
        <v>0</v>
      </c>
    </row>
    <row r="284" spans="2:19" x14ac:dyDescent="0.35">
      <c r="B284" s="1">
        <v>3334</v>
      </c>
      <c r="C284" s="1" t="s">
        <v>19</v>
      </c>
      <c r="D284" s="1" t="s">
        <v>18</v>
      </c>
      <c r="E284" s="1">
        <v>0</v>
      </c>
      <c r="F284" s="28">
        <v>0</v>
      </c>
      <c r="G284" s="28">
        <v>0</v>
      </c>
      <c r="H284" s="1">
        <v>7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1</v>
      </c>
      <c r="O284" s="1">
        <v>2</v>
      </c>
      <c r="P284" s="1">
        <v>0</v>
      </c>
      <c r="Q284" s="1">
        <v>0</v>
      </c>
      <c r="R284" s="1">
        <v>0</v>
      </c>
      <c r="S284" s="1">
        <v>0</v>
      </c>
    </row>
    <row r="285" spans="2:19" x14ac:dyDescent="0.35">
      <c r="B285" s="1">
        <v>3335</v>
      </c>
      <c r="C285" s="1" t="s">
        <v>19</v>
      </c>
      <c r="D285" s="1" t="s">
        <v>18</v>
      </c>
      <c r="E285" s="1">
        <v>0</v>
      </c>
      <c r="F285" s="28">
        <v>0</v>
      </c>
      <c r="G285" s="28">
        <v>0</v>
      </c>
      <c r="H285" s="1">
        <v>5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3</v>
      </c>
      <c r="O285" s="1">
        <v>2</v>
      </c>
      <c r="P285" s="1">
        <v>0</v>
      </c>
      <c r="Q285" s="1">
        <v>0</v>
      </c>
      <c r="R285" s="1">
        <v>0</v>
      </c>
      <c r="S285" s="1">
        <v>0</v>
      </c>
    </row>
    <row r="286" spans="2:19" x14ac:dyDescent="0.35">
      <c r="B286" s="1">
        <v>3336</v>
      </c>
      <c r="C286" s="1" t="s">
        <v>19</v>
      </c>
      <c r="D286" s="1" t="s">
        <v>18</v>
      </c>
      <c r="E286" s="1">
        <v>0</v>
      </c>
      <c r="F286" s="28">
        <v>0</v>
      </c>
      <c r="G286" s="28">
        <v>0</v>
      </c>
      <c r="H286" s="1">
        <v>5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5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</row>
    <row r="287" spans="2:19" x14ac:dyDescent="0.35">
      <c r="B287" s="1">
        <v>3337</v>
      </c>
      <c r="C287" s="1" t="s">
        <v>19</v>
      </c>
      <c r="D287" s="1" t="s">
        <v>20</v>
      </c>
      <c r="E287" s="1">
        <v>1</v>
      </c>
      <c r="F287" s="28">
        <v>1</v>
      </c>
      <c r="G287" s="28">
        <v>0</v>
      </c>
      <c r="H287" s="1">
        <v>8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</row>
    <row r="288" spans="2:19" x14ac:dyDescent="0.35">
      <c r="B288" s="1">
        <v>3338</v>
      </c>
      <c r="C288" s="1" t="s">
        <v>17</v>
      </c>
      <c r="D288" s="1" t="s">
        <v>20</v>
      </c>
      <c r="E288" s="1">
        <v>0</v>
      </c>
      <c r="F288" s="28">
        <v>1</v>
      </c>
      <c r="G288" s="28">
        <v>0</v>
      </c>
      <c r="H288" s="1">
        <v>8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1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</row>
    <row r="289" spans="2:19" x14ac:dyDescent="0.35">
      <c r="B289" s="1">
        <v>3339</v>
      </c>
      <c r="C289" s="1" t="s">
        <v>24</v>
      </c>
      <c r="D289" s="1" t="s">
        <v>18</v>
      </c>
      <c r="E289" s="1">
        <v>0</v>
      </c>
      <c r="F289" s="28">
        <v>0</v>
      </c>
      <c r="G289" s="28">
        <v>0</v>
      </c>
      <c r="H289" s="1">
        <v>8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1</v>
      </c>
      <c r="O289" s="1">
        <v>1</v>
      </c>
      <c r="P289" s="1">
        <v>0</v>
      </c>
      <c r="Q289" s="1">
        <v>0</v>
      </c>
      <c r="R289" s="1">
        <v>0</v>
      </c>
      <c r="S289" s="1">
        <v>0</v>
      </c>
    </row>
    <row r="290" spans="2:19" x14ac:dyDescent="0.35">
      <c r="B290" s="1">
        <v>3340</v>
      </c>
      <c r="C290" s="1" t="s">
        <v>19</v>
      </c>
      <c r="D290" s="1" t="s">
        <v>20</v>
      </c>
      <c r="E290" s="1">
        <v>0</v>
      </c>
      <c r="F290" s="28">
        <v>1</v>
      </c>
      <c r="G290" s="28">
        <v>0</v>
      </c>
      <c r="H290" s="1">
        <v>7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2</v>
      </c>
      <c r="R290" s="1">
        <v>0</v>
      </c>
      <c r="S290" s="1">
        <v>0</v>
      </c>
    </row>
    <row r="291" spans="2:19" x14ac:dyDescent="0.35">
      <c r="B291" s="1">
        <v>3341</v>
      </c>
      <c r="C291" s="1" t="s">
        <v>19</v>
      </c>
      <c r="D291" s="1" t="s">
        <v>18</v>
      </c>
      <c r="E291" s="1">
        <v>0</v>
      </c>
      <c r="F291" s="28">
        <v>0</v>
      </c>
      <c r="G291" s="28">
        <v>0</v>
      </c>
      <c r="H291" s="1">
        <v>8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1</v>
      </c>
      <c r="O291" s="1">
        <v>1</v>
      </c>
      <c r="P291" s="1">
        <v>0</v>
      </c>
      <c r="Q291" s="1">
        <v>0</v>
      </c>
      <c r="R291" s="1">
        <v>0</v>
      </c>
      <c r="S291" s="1">
        <v>0</v>
      </c>
    </row>
    <row r="292" spans="2:19" x14ac:dyDescent="0.35">
      <c r="B292" s="1">
        <v>3342</v>
      </c>
      <c r="C292" s="1" t="s">
        <v>26</v>
      </c>
      <c r="D292" s="1" t="s">
        <v>20</v>
      </c>
      <c r="E292" s="1">
        <v>1</v>
      </c>
      <c r="F292" s="28">
        <v>2</v>
      </c>
      <c r="G292" s="28">
        <v>0</v>
      </c>
      <c r="H292" s="1">
        <v>7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</row>
    <row r="293" spans="2:19" x14ac:dyDescent="0.35">
      <c r="B293" s="1">
        <v>3343</v>
      </c>
      <c r="C293" s="1" t="s">
        <v>19</v>
      </c>
      <c r="D293" s="1" t="s">
        <v>18</v>
      </c>
      <c r="E293" s="1">
        <v>0</v>
      </c>
      <c r="F293" s="28">
        <v>0</v>
      </c>
      <c r="G293" s="28">
        <v>0</v>
      </c>
      <c r="H293" s="1">
        <v>6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3</v>
      </c>
      <c r="O293" s="1">
        <v>0</v>
      </c>
      <c r="P293" s="1">
        <v>0</v>
      </c>
      <c r="Q293" s="1">
        <v>0</v>
      </c>
      <c r="R293" s="1">
        <v>0</v>
      </c>
      <c r="S293" s="1">
        <v>1</v>
      </c>
    </row>
    <row r="294" spans="2:19" x14ac:dyDescent="0.35">
      <c r="B294" s="1">
        <v>3344</v>
      </c>
      <c r="C294" s="1" t="s">
        <v>21</v>
      </c>
      <c r="D294" s="1" t="s">
        <v>20</v>
      </c>
      <c r="E294" s="1">
        <v>0</v>
      </c>
      <c r="F294" s="28">
        <v>0</v>
      </c>
      <c r="G294" s="28">
        <v>0</v>
      </c>
      <c r="H294" s="1">
        <v>8</v>
      </c>
      <c r="I294" s="1">
        <v>1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1</v>
      </c>
      <c r="R294" s="1">
        <v>0</v>
      </c>
      <c r="S294" s="1">
        <v>0</v>
      </c>
    </row>
    <row r="295" spans="2:19" x14ac:dyDescent="0.35">
      <c r="B295" s="1">
        <v>3345</v>
      </c>
      <c r="C295" s="1" t="s">
        <v>21</v>
      </c>
      <c r="D295" s="1" t="s">
        <v>18</v>
      </c>
      <c r="E295" s="1">
        <v>0</v>
      </c>
      <c r="F295" s="28">
        <v>0</v>
      </c>
      <c r="G295" s="28">
        <v>0</v>
      </c>
      <c r="H295" s="1">
        <v>8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1</v>
      </c>
      <c r="O295" s="1">
        <v>0</v>
      </c>
      <c r="P295" s="1">
        <v>1</v>
      </c>
      <c r="Q295" s="1">
        <v>0</v>
      </c>
      <c r="R295" s="1">
        <v>0</v>
      </c>
      <c r="S295" s="1">
        <v>0</v>
      </c>
    </row>
    <row r="296" spans="2:19" x14ac:dyDescent="0.35">
      <c r="B296" s="1">
        <v>3346</v>
      </c>
      <c r="C296" s="1" t="s">
        <v>19</v>
      </c>
      <c r="D296" s="1" t="s">
        <v>18</v>
      </c>
      <c r="E296" s="1">
        <v>0</v>
      </c>
      <c r="F296" s="28">
        <v>0</v>
      </c>
      <c r="G296" s="28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3</v>
      </c>
      <c r="N296" s="1">
        <v>1</v>
      </c>
      <c r="O296" s="1">
        <v>0</v>
      </c>
      <c r="P296" s="1">
        <v>6</v>
      </c>
      <c r="Q296" s="1">
        <v>0</v>
      </c>
      <c r="R296" s="1">
        <v>0</v>
      </c>
      <c r="S296" s="1">
        <v>0</v>
      </c>
    </row>
    <row r="297" spans="2:19" x14ac:dyDescent="0.35">
      <c r="B297" s="1">
        <v>3347</v>
      </c>
      <c r="C297" s="1" t="s">
        <v>19</v>
      </c>
      <c r="D297" s="1" t="s">
        <v>20</v>
      </c>
      <c r="E297" s="1">
        <v>0</v>
      </c>
      <c r="F297" s="28">
        <v>2</v>
      </c>
      <c r="G297" s="28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3</v>
      </c>
      <c r="N297" s="1">
        <v>0</v>
      </c>
      <c r="O297" s="1">
        <v>0</v>
      </c>
      <c r="P297" s="1">
        <v>5</v>
      </c>
      <c r="Q297" s="1">
        <v>0</v>
      </c>
      <c r="R297" s="1">
        <v>0</v>
      </c>
      <c r="S297" s="1">
        <v>0</v>
      </c>
    </row>
    <row r="298" spans="2:19" x14ac:dyDescent="0.35">
      <c r="B298" s="1">
        <v>3348</v>
      </c>
      <c r="C298" s="1" t="s">
        <v>19</v>
      </c>
      <c r="D298" s="1" t="s">
        <v>20</v>
      </c>
      <c r="E298" s="1">
        <v>0</v>
      </c>
      <c r="F298" s="28">
        <v>0</v>
      </c>
      <c r="G298" s="28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10</v>
      </c>
      <c r="Q298" s="1">
        <v>0</v>
      </c>
      <c r="R298" s="1">
        <v>0</v>
      </c>
      <c r="S298" s="1">
        <v>0</v>
      </c>
    </row>
    <row r="299" spans="2:19" x14ac:dyDescent="0.35">
      <c r="B299" s="1">
        <v>3349</v>
      </c>
      <c r="C299" s="1" t="s">
        <v>17</v>
      </c>
      <c r="D299" s="1" t="s">
        <v>18</v>
      </c>
      <c r="E299" s="1">
        <v>0</v>
      </c>
      <c r="F299" s="28">
        <v>0</v>
      </c>
      <c r="G299" s="28">
        <v>0</v>
      </c>
      <c r="H299" s="1">
        <v>0</v>
      </c>
      <c r="I299" s="1">
        <v>1</v>
      </c>
      <c r="J299" s="1">
        <v>0</v>
      </c>
      <c r="K299" s="1">
        <v>0</v>
      </c>
      <c r="L299" s="1">
        <v>0</v>
      </c>
      <c r="M299" s="1">
        <v>3</v>
      </c>
      <c r="N299" s="1">
        <v>0</v>
      </c>
      <c r="O299" s="1">
        <v>0</v>
      </c>
      <c r="P299" s="1">
        <v>6</v>
      </c>
      <c r="Q299" s="1">
        <v>0</v>
      </c>
      <c r="R299" s="1">
        <v>0</v>
      </c>
      <c r="S299" s="1">
        <v>0</v>
      </c>
    </row>
    <row r="300" spans="2:19" x14ac:dyDescent="0.35">
      <c r="B300" s="1">
        <v>3350</v>
      </c>
      <c r="C300" s="1" t="s">
        <v>23</v>
      </c>
      <c r="D300" s="1" t="s">
        <v>20</v>
      </c>
      <c r="E300" s="1">
        <v>0</v>
      </c>
      <c r="F300" s="28">
        <v>0</v>
      </c>
      <c r="G300" s="28">
        <v>2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3</v>
      </c>
      <c r="N300" s="1">
        <v>0</v>
      </c>
      <c r="O300" s="1">
        <v>0</v>
      </c>
      <c r="P300" s="1">
        <v>5</v>
      </c>
      <c r="Q300" s="1">
        <v>0</v>
      </c>
      <c r="R300" s="1">
        <v>0</v>
      </c>
      <c r="S300" s="1">
        <v>0</v>
      </c>
    </row>
    <row r="301" spans="2:19" x14ac:dyDescent="0.35">
      <c r="B301" s="1">
        <v>3351</v>
      </c>
      <c r="C301" s="1" t="s">
        <v>22</v>
      </c>
      <c r="D301" s="1" t="s">
        <v>20</v>
      </c>
      <c r="E301" s="1">
        <v>0</v>
      </c>
      <c r="F301" s="28">
        <v>1</v>
      </c>
      <c r="G301" s="28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3</v>
      </c>
      <c r="O301" s="1">
        <v>0</v>
      </c>
      <c r="P301" s="1">
        <v>6</v>
      </c>
      <c r="Q301" s="1">
        <v>0</v>
      </c>
      <c r="R301" s="1">
        <v>0</v>
      </c>
      <c r="S301" s="1">
        <v>0</v>
      </c>
    </row>
    <row r="302" spans="2:19" x14ac:dyDescent="0.35">
      <c r="B302" s="1">
        <v>3352</v>
      </c>
      <c r="C302" s="1" t="s">
        <v>21</v>
      </c>
      <c r="D302" s="1" t="s">
        <v>18</v>
      </c>
      <c r="E302" s="1">
        <v>0</v>
      </c>
      <c r="F302" s="28">
        <v>0</v>
      </c>
      <c r="G302" s="28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3</v>
      </c>
      <c r="O302" s="1">
        <v>0</v>
      </c>
      <c r="P302" s="1">
        <v>5</v>
      </c>
      <c r="Q302" s="1">
        <v>2</v>
      </c>
      <c r="R302" s="1">
        <v>0</v>
      </c>
      <c r="S302" s="1">
        <v>0</v>
      </c>
    </row>
    <row r="303" spans="2:19" x14ac:dyDescent="0.35">
      <c r="B303" s="1">
        <v>3353</v>
      </c>
      <c r="C303" s="1" t="s">
        <v>19</v>
      </c>
      <c r="D303" s="1" t="s">
        <v>18</v>
      </c>
      <c r="E303" s="1">
        <v>0</v>
      </c>
      <c r="F303" s="28">
        <v>0</v>
      </c>
      <c r="G303" s="28">
        <v>0</v>
      </c>
      <c r="H303" s="1">
        <v>0</v>
      </c>
      <c r="I303" s="1">
        <v>1</v>
      </c>
      <c r="J303" s="1">
        <v>1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8</v>
      </c>
      <c r="Q303" s="1">
        <v>0</v>
      </c>
      <c r="R303" s="1">
        <v>0</v>
      </c>
      <c r="S303" s="1">
        <v>0</v>
      </c>
    </row>
    <row r="304" spans="2:19" x14ac:dyDescent="0.35">
      <c r="B304" s="1">
        <v>3354</v>
      </c>
      <c r="C304" s="1" t="s">
        <v>21</v>
      </c>
      <c r="D304" s="1" t="s">
        <v>20</v>
      </c>
      <c r="E304" s="1">
        <v>0</v>
      </c>
      <c r="F304" s="28">
        <v>0</v>
      </c>
      <c r="G304" s="28">
        <v>0</v>
      </c>
      <c r="H304" s="1">
        <v>0</v>
      </c>
      <c r="I304" s="1">
        <v>1</v>
      </c>
      <c r="J304" s="1">
        <v>1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8</v>
      </c>
      <c r="Q304" s="1">
        <v>0</v>
      </c>
      <c r="R304" s="1">
        <v>0</v>
      </c>
      <c r="S304" s="1">
        <v>0</v>
      </c>
    </row>
    <row r="305" spans="2:19" x14ac:dyDescent="0.35">
      <c r="B305" s="1">
        <v>3355</v>
      </c>
      <c r="C305" s="1" t="s">
        <v>23</v>
      </c>
      <c r="D305" s="1" t="s">
        <v>20</v>
      </c>
      <c r="E305" s="1">
        <v>0</v>
      </c>
      <c r="F305" s="28">
        <v>0</v>
      </c>
      <c r="G305" s="28">
        <v>0</v>
      </c>
      <c r="H305" s="1">
        <v>0</v>
      </c>
      <c r="I305" s="1">
        <v>1</v>
      </c>
      <c r="J305" s="1">
        <v>0</v>
      </c>
      <c r="K305" s="1">
        <v>0</v>
      </c>
      <c r="L305" s="1">
        <v>0</v>
      </c>
      <c r="M305" s="1">
        <v>1</v>
      </c>
      <c r="N305" s="1">
        <v>0</v>
      </c>
      <c r="O305" s="1">
        <v>0</v>
      </c>
      <c r="P305" s="1">
        <v>8</v>
      </c>
      <c r="Q305" s="1">
        <v>0</v>
      </c>
      <c r="R305" s="1">
        <v>0</v>
      </c>
      <c r="S305" s="1">
        <v>0</v>
      </c>
    </row>
    <row r="306" spans="2:19" x14ac:dyDescent="0.35">
      <c r="B306" s="1">
        <v>3356</v>
      </c>
      <c r="C306" s="1" t="s">
        <v>17</v>
      </c>
      <c r="D306" s="1" t="s">
        <v>20</v>
      </c>
      <c r="E306" s="1">
        <v>0</v>
      </c>
      <c r="F306" s="28">
        <v>0</v>
      </c>
      <c r="G306" s="28">
        <v>0</v>
      </c>
      <c r="H306" s="1">
        <v>0</v>
      </c>
      <c r="I306" s="1">
        <v>1</v>
      </c>
      <c r="J306" s="1">
        <v>0</v>
      </c>
      <c r="K306" s="1">
        <v>0</v>
      </c>
      <c r="L306" s="1">
        <v>0</v>
      </c>
      <c r="M306" s="1">
        <v>1</v>
      </c>
      <c r="N306" s="1">
        <v>0</v>
      </c>
      <c r="O306" s="1">
        <v>0</v>
      </c>
      <c r="P306" s="1">
        <v>8</v>
      </c>
      <c r="Q306" s="1">
        <v>0</v>
      </c>
      <c r="R306" s="1">
        <v>0</v>
      </c>
      <c r="S306" s="1">
        <v>0</v>
      </c>
    </row>
    <row r="307" spans="2:19" x14ac:dyDescent="0.35">
      <c r="B307" s="1">
        <v>3357</v>
      </c>
      <c r="C307" s="1" t="s">
        <v>23</v>
      </c>
      <c r="D307" s="1" t="s">
        <v>18</v>
      </c>
      <c r="E307" s="1">
        <v>0</v>
      </c>
      <c r="F307" s="28">
        <v>0</v>
      </c>
      <c r="G307" s="28">
        <v>0</v>
      </c>
      <c r="H307" s="1">
        <v>0</v>
      </c>
      <c r="I307" s="1">
        <v>1</v>
      </c>
      <c r="J307" s="1">
        <v>0</v>
      </c>
      <c r="K307" s="1">
        <v>0</v>
      </c>
      <c r="L307" s="1">
        <v>0</v>
      </c>
      <c r="M307" s="1">
        <v>1</v>
      </c>
      <c r="N307" s="1">
        <v>0</v>
      </c>
      <c r="O307" s="1">
        <v>0</v>
      </c>
      <c r="P307" s="1">
        <v>8</v>
      </c>
      <c r="Q307" s="1">
        <v>0</v>
      </c>
      <c r="R307" s="1">
        <v>0</v>
      </c>
      <c r="S307" s="1">
        <v>0</v>
      </c>
    </row>
    <row r="308" spans="2:19" x14ac:dyDescent="0.35">
      <c r="B308" s="1">
        <v>3358</v>
      </c>
      <c r="C308" s="1" t="s">
        <v>19</v>
      </c>
      <c r="D308" s="1" t="s">
        <v>18</v>
      </c>
      <c r="E308" s="1">
        <v>0</v>
      </c>
      <c r="F308" s="28">
        <v>0</v>
      </c>
      <c r="G308" s="28">
        <v>0</v>
      </c>
      <c r="H308" s="1">
        <v>0</v>
      </c>
      <c r="I308" s="1">
        <v>3</v>
      </c>
      <c r="J308" s="1">
        <v>0</v>
      </c>
      <c r="K308" s="1">
        <v>0</v>
      </c>
      <c r="L308" s="1">
        <v>0</v>
      </c>
      <c r="M308" s="1">
        <v>0</v>
      </c>
      <c r="N308" s="1">
        <v>2</v>
      </c>
      <c r="O308" s="1">
        <v>0</v>
      </c>
      <c r="P308" s="1">
        <v>5</v>
      </c>
      <c r="Q308" s="1">
        <v>0</v>
      </c>
      <c r="R308" s="1">
        <v>0</v>
      </c>
      <c r="S308" s="1">
        <v>0</v>
      </c>
    </row>
    <row r="309" spans="2:19" x14ac:dyDescent="0.35">
      <c r="B309" s="1">
        <v>3359</v>
      </c>
      <c r="C309" s="1" t="s">
        <v>19</v>
      </c>
      <c r="D309" s="1" t="s">
        <v>18</v>
      </c>
      <c r="E309" s="1">
        <v>0</v>
      </c>
      <c r="F309" s="28">
        <v>0</v>
      </c>
      <c r="G309" s="28">
        <v>0</v>
      </c>
      <c r="H309" s="1">
        <v>0</v>
      </c>
      <c r="I309" s="1">
        <v>3</v>
      </c>
      <c r="J309" s="1">
        <v>0</v>
      </c>
      <c r="K309" s="1">
        <v>0</v>
      </c>
      <c r="L309" s="1">
        <v>0</v>
      </c>
      <c r="M309" s="1">
        <v>2</v>
      </c>
      <c r="N309" s="1">
        <v>0</v>
      </c>
      <c r="O309" s="1">
        <v>0</v>
      </c>
      <c r="P309" s="1">
        <v>5</v>
      </c>
      <c r="Q309" s="1">
        <v>0</v>
      </c>
      <c r="R309" s="1">
        <v>0</v>
      </c>
      <c r="S309" s="1">
        <v>0</v>
      </c>
    </row>
    <row r="310" spans="2:19" x14ac:dyDescent="0.35">
      <c r="B310" s="1">
        <v>3360</v>
      </c>
      <c r="C310" s="1" t="s">
        <v>21</v>
      </c>
      <c r="D310" s="1" t="s">
        <v>20</v>
      </c>
      <c r="E310" s="1">
        <v>1</v>
      </c>
      <c r="F310" s="28">
        <v>0</v>
      </c>
      <c r="G310" s="28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1</v>
      </c>
      <c r="O310" s="1">
        <v>0</v>
      </c>
      <c r="P310" s="1">
        <v>8</v>
      </c>
      <c r="Q310" s="1">
        <v>0</v>
      </c>
      <c r="R310" s="1">
        <v>0</v>
      </c>
      <c r="S310" s="1">
        <v>0</v>
      </c>
    </row>
    <row r="311" spans="2:19" x14ac:dyDescent="0.35">
      <c r="B311" s="1">
        <v>3361</v>
      </c>
      <c r="C311" s="1" t="s">
        <v>19</v>
      </c>
      <c r="D311" s="1" t="s">
        <v>18</v>
      </c>
      <c r="E311" s="1">
        <v>0</v>
      </c>
      <c r="F311" s="28">
        <v>0</v>
      </c>
      <c r="G311" s="28">
        <v>0</v>
      </c>
      <c r="H311" s="1">
        <v>0</v>
      </c>
      <c r="I311" s="1">
        <v>0</v>
      </c>
      <c r="J311" s="1">
        <v>0</v>
      </c>
      <c r="K311" s="1">
        <v>0</v>
      </c>
      <c r="L311" s="1">
        <v>1</v>
      </c>
      <c r="M311" s="1">
        <v>1</v>
      </c>
      <c r="N311" s="1">
        <v>0</v>
      </c>
      <c r="O311" s="1">
        <v>0</v>
      </c>
      <c r="P311" s="1">
        <v>8</v>
      </c>
      <c r="Q311" s="1">
        <v>0</v>
      </c>
      <c r="R311" s="1">
        <v>0</v>
      </c>
      <c r="S311" s="1">
        <v>0</v>
      </c>
    </row>
    <row r="312" spans="2:19" x14ac:dyDescent="0.35">
      <c r="B312" s="1">
        <v>3362</v>
      </c>
      <c r="C312" s="1" t="s">
        <v>21</v>
      </c>
      <c r="D312" s="1" t="s">
        <v>20</v>
      </c>
      <c r="E312" s="1">
        <v>0</v>
      </c>
      <c r="F312" s="28">
        <v>0</v>
      </c>
      <c r="G312" s="28">
        <v>0</v>
      </c>
      <c r="H312" s="1">
        <v>0</v>
      </c>
      <c r="I312" s="1">
        <v>1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9</v>
      </c>
      <c r="Q312" s="1">
        <v>0</v>
      </c>
      <c r="R312" s="1">
        <v>0</v>
      </c>
      <c r="S312" s="1">
        <v>0</v>
      </c>
    </row>
    <row r="313" spans="2:19" x14ac:dyDescent="0.35">
      <c r="B313" s="1">
        <v>3363</v>
      </c>
      <c r="C313" s="1" t="s">
        <v>23</v>
      </c>
      <c r="D313" s="1" t="s">
        <v>20</v>
      </c>
      <c r="E313" s="1">
        <v>0</v>
      </c>
      <c r="F313" s="28">
        <v>0</v>
      </c>
      <c r="G313" s="28">
        <v>0</v>
      </c>
      <c r="H313" s="1">
        <v>0</v>
      </c>
      <c r="I313" s="1">
        <v>0</v>
      </c>
      <c r="J313" s="1">
        <v>0</v>
      </c>
      <c r="K313" s="1">
        <v>1</v>
      </c>
      <c r="L313" s="1">
        <v>0</v>
      </c>
      <c r="M313" s="1">
        <v>0</v>
      </c>
      <c r="N313" s="1">
        <v>0</v>
      </c>
      <c r="O313" s="1">
        <v>0</v>
      </c>
      <c r="P313" s="1">
        <v>9</v>
      </c>
      <c r="Q313" s="1">
        <v>0</v>
      </c>
      <c r="R313" s="1">
        <v>0</v>
      </c>
      <c r="S313" s="1">
        <v>0</v>
      </c>
    </row>
    <row r="314" spans="2:19" x14ac:dyDescent="0.35">
      <c r="B314" s="1">
        <v>3364</v>
      </c>
      <c r="C314" s="1" t="s">
        <v>23</v>
      </c>
      <c r="D314" s="1" t="s">
        <v>18</v>
      </c>
      <c r="E314" s="1">
        <v>0</v>
      </c>
      <c r="F314" s="28">
        <v>0</v>
      </c>
      <c r="G314" s="28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  <c r="M314" s="1">
        <v>2</v>
      </c>
      <c r="N314" s="1">
        <v>0</v>
      </c>
      <c r="O314" s="1">
        <v>0</v>
      </c>
      <c r="P314" s="1">
        <v>6</v>
      </c>
      <c r="Q314" s="1">
        <v>0</v>
      </c>
      <c r="R314" s="1">
        <v>0</v>
      </c>
      <c r="S314" s="1">
        <v>2</v>
      </c>
    </row>
    <row r="315" spans="2:19" x14ac:dyDescent="0.35">
      <c r="B315" s="1">
        <v>3365</v>
      </c>
      <c r="C315" s="1" t="s">
        <v>23</v>
      </c>
      <c r="D315" s="1" t="s">
        <v>20</v>
      </c>
      <c r="E315" s="1">
        <v>0</v>
      </c>
      <c r="F315" s="28">
        <v>0</v>
      </c>
      <c r="G315" s="28">
        <v>0</v>
      </c>
      <c r="H315" s="1">
        <v>0</v>
      </c>
      <c r="I315" s="1">
        <v>3</v>
      </c>
      <c r="J315" s="1">
        <v>0</v>
      </c>
      <c r="K315" s="1">
        <v>0</v>
      </c>
      <c r="L315" s="1">
        <v>0</v>
      </c>
      <c r="M315" s="1">
        <v>1</v>
      </c>
      <c r="N315" s="1">
        <v>0</v>
      </c>
      <c r="O315" s="1">
        <v>0</v>
      </c>
      <c r="P315" s="1">
        <v>6</v>
      </c>
      <c r="Q315" s="1">
        <v>0</v>
      </c>
      <c r="R315" s="1">
        <v>0</v>
      </c>
      <c r="S315" s="1">
        <v>0</v>
      </c>
    </row>
    <row r="316" spans="2:19" x14ac:dyDescent="0.35">
      <c r="B316" s="1">
        <v>3366</v>
      </c>
      <c r="C316" s="1" t="s">
        <v>23</v>
      </c>
      <c r="D316" s="1" t="s">
        <v>20</v>
      </c>
      <c r="E316" s="1">
        <v>0</v>
      </c>
      <c r="F316" s="28">
        <v>1</v>
      </c>
      <c r="G316" s="28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2</v>
      </c>
      <c r="N316" s="1">
        <v>0</v>
      </c>
      <c r="O316" s="1">
        <v>0</v>
      </c>
      <c r="P316" s="1">
        <v>7</v>
      </c>
      <c r="Q316" s="1">
        <v>0</v>
      </c>
      <c r="R316" s="1">
        <v>0</v>
      </c>
      <c r="S316" s="1">
        <v>0</v>
      </c>
    </row>
    <row r="317" spans="2:19" x14ac:dyDescent="0.35">
      <c r="B317" s="1">
        <v>3367</v>
      </c>
      <c r="C317" s="1" t="s">
        <v>23</v>
      </c>
      <c r="D317" s="1" t="s">
        <v>20</v>
      </c>
      <c r="E317" s="1">
        <v>0</v>
      </c>
      <c r="F317" s="28">
        <v>0</v>
      </c>
      <c r="G317" s="28">
        <v>0</v>
      </c>
      <c r="H317" s="1">
        <v>0</v>
      </c>
      <c r="I317" s="1">
        <v>1</v>
      </c>
      <c r="J317" s="1">
        <v>1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8</v>
      </c>
      <c r="Q317" s="1">
        <v>0</v>
      </c>
      <c r="R317" s="1">
        <v>0</v>
      </c>
      <c r="S317" s="1">
        <v>0</v>
      </c>
    </row>
    <row r="318" spans="2:19" x14ac:dyDescent="0.35">
      <c r="B318" s="1">
        <v>3368</v>
      </c>
      <c r="C318" s="1" t="s">
        <v>21</v>
      </c>
      <c r="D318" s="1" t="s">
        <v>20</v>
      </c>
      <c r="E318" s="1">
        <v>0</v>
      </c>
      <c r="F318" s="28">
        <v>6</v>
      </c>
      <c r="G318" s="28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1</v>
      </c>
      <c r="O318" s="1">
        <v>0</v>
      </c>
      <c r="P318" s="1">
        <v>0</v>
      </c>
      <c r="Q318" s="1">
        <v>3</v>
      </c>
      <c r="R318" s="1">
        <v>0</v>
      </c>
      <c r="S318" s="1">
        <v>0</v>
      </c>
    </row>
    <row r="319" spans="2:19" x14ac:dyDescent="0.35">
      <c r="B319" s="1">
        <v>3369</v>
      </c>
      <c r="C319" s="1" t="s">
        <v>17</v>
      </c>
      <c r="D319" s="1" t="s">
        <v>18</v>
      </c>
      <c r="E319" s="1">
        <v>1</v>
      </c>
      <c r="F319" s="28">
        <v>7</v>
      </c>
      <c r="G319" s="28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2</v>
      </c>
      <c r="R319" s="1">
        <v>0</v>
      </c>
      <c r="S319" s="1">
        <v>0</v>
      </c>
    </row>
    <row r="320" spans="2:19" x14ac:dyDescent="0.35">
      <c r="B320" s="1">
        <v>3370</v>
      </c>
      <c r="C320" s="1" t="s">
        <v>26</v>
      </c>
      <c r="D320" s="1" t="s">
        <v>18</v>
      </c>
      <c r="E320" s="1">
        <v>0</v>
      </c>
      <c r="F320" s="28">
        <v>2</v>
      </c>
      <c r="G320" s="28">
        <v>0</v>
      </c>
      <c r="H320" s="1">
        <v>1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7</v>
      </c>
      <c r="R320" s="1">
        <v>0</v>
      </c>
      <c r="S320" s="1">
        <v>0</v>
      </c>
    </row>
    <row r="321" spans="2:19" x14ac:dyDescent="0.35">
      <c r="B321" s="1">
        <v>3371</v>
      </c>
      <c r="C321" s="1" t="s">
        <v>19</v>
      </c>
      <c r="D321" s="1" t="s">
        <v>18</v>
      </c>
      <c r="E321" s="1">
        <v>2</v>
      </c>
      <c r="F321" s="28">
        <v>2</v>
      </c>
      <c r="G321" s="28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6</v>
      </c>
      <c r="R321" s="1">
        <v>0</v>
      </c>
      <c r="S321" s="1">
        <v>0</v>
      </c>
    </row>
    <row r="322" spans="2:19" x14ac:dyDescent="0.35">
      <c r="B322" s="1">
        <v>3372</v>
      </c>
      <c r="C322" s="1" t="s">
        <v>23</v>
      </c>
      <c r="D322" s="1" t="s">
        <v>20</v>
      </c>
      <c r="E322" s="1">
        <v>1</v>
      </c>
      <c r="F322" s="28">
        <v>7</v>
      </c>
      <c r="G322" s="28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2</v>
      </c>
      <c r="R322" s="1">
        <v>0</v>
      </c>
      <c r="S322" s="1">
        <v>0</v>
      </c>
    </row>
    <row r="323" spans="2:19" x14ac:dyDescent="0.35">
      <c r="B323" s="1">
        <v>3373</v>
      </c>
      <c r="C323" s="1" t="s">
        <v>26</v>
      </c>
      <c r="D323" s="1" t="s">
        <v>18</v>
      </c>
      <c r="E323" s="1">
        <v>0</v>
      </c>
      <c r="F323" s="28">
        <v>8</v>
      </c>
      <c r="G323" s="28">
        <v>0</v>
      </c>
      <c r="H323" s="1">
        <v>0</v>
      </c>
      <c r="I323" s="1">
        <v>1</v>
      </c>
      <c r="J323" s="1">
        <v>1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</row>
    <row r="324" spans="2:19" x14ac:dyDescent="0.35">
      <c r="B324" s="1">
        <v>3374</v>
      </c>
      <c r="C324" s="1" t="s">
        <v>22</v>
      </c>
      <c r="D324" s="1" t="s">
        <v>18</v>
      </c>
      <c r="E324" s="1">
        <v>0</v>
      </c>
      <c r="F324" s="28">
        <v>1</v>
      </c>
      <c r="G324" s="28">
        <v>0</v>
      </c>
      <c r="H324" s="1">
        <v>0</v>
      </c>
      <c r="I324" s="1">
        <v>1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8</v>
      </c>
      <c r="R324" s="1">
        <v>0</v>
      </c>
      <c r="S324" s="1">
        <v>0</v>
      </c>
    </row>
    <row r="325" spans="2:19" x14ac:dyDescent="0.35">
      <c r="B325" s="1">
        <v>3375</v>
      </c>
      <c r="C325" s="1" t="s">
        <v>26</v>
      </c>
      <c r="D325" s="1" t="s">
        <v>18</v>
      </c>
      <c r="E325" s="1">
        <v>1</v>
      </c>
      <c r="F325" s="28">
        <v>7</v>
      </c>
      <c r="G325" s="28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2</v>
      </c>
      <c r="R325" s="1">
        <v>0</v>
      </c>
      <c r="S325" s="1">
        <v>0</v>
      </c>
    </row>
    <row r="326" spans="2:19" x14ac:dyDescent="0.35">
      <c r="B326" s="1">
        <v>3376</v>
      </c>
      <c r="C326" s="1" t="s">
        <v>26</v>
      </c>
      <c r="D326" s="1" t="s">
        <v>18</v>
      </c>
      <c r="E326" s="1">
        <v>0</v>
      </c>
      <c r="F326" s="28">
        <v>7</v>
      </c>
      <c r="G326" s="28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3</v>
      </c>
      <c r="R326" s="1">
        <v>0</v>
      </c>
      <c r="S326" s="1">
        <v>0</v>
      </c>
    </row>
    <row r="327" spans="2:19" x14ac:dyDescent="0.35">
      <c r="B327" s="1">
        <v>3377</v>
      </c>
      <c r="C327" s="1" t="s">
        <v>22</v>
      </c>
      <c r="D327" s="1" t="s">
        <v>18</v>
      </c>
      <c r="E327" s="1">
        <v>0</v>
      </c>
      <c r="F327" s="28">
        <v>7</v>
      </c>
      <c r="G327" s="28">
        <v>0</v>
      </c>
      <c r="H327" s="1">
        <v>0</v>
      </c>
      <c r="I327" s="1">
        <v>0</v>
      </c>
      <c r="J327" s="1">
        <v>0</v>
      </c>
      <c r="K327" s="1">
        <v>0</v>
      </c>
      <c r="L327" s="1">
        <v>1</v>
      </c>
      <c r="M327" s="1">
        <v>0</v>
      </c>
      <c r="N327" s="1">
        <v>0</v>
      </c>
      <c r="O327" s="1">
        <v>0</v>
      </c>
      <c r="P327" s="1">
        <v>0</v>
      </c>
      <c r="Q327" s="1">
        <v>2</v>
      </c>
      <c r="R327" s="1">
        <v>0</v>
      </c>
      <c r="S327" s="1">
        <v>0</v>
      </c>
    </row>
    <row r="328" spans="2:19" x14ac:dyDescent="0.35">
      <c r="B328" s="1">
        <v>3378</v>
      </c>
      <c r="C328" s="1" t="s">
        <v>19</v>
      </c>
      <c r="D328" s="1" t="s">
        <v>20</v>
      </c>
      <c r="E328" s="1">
        <v>1</v>
      </c>
      <c r="F328" s="28">
        <v>2</v>
      </c>
      <c r="G328" s="28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7</v>
      </c>
      <c r="R328" s="1">
        <v>0</v>
      </c>
      <c r="S328" s="1">
        <v>0</v>
      </c>
    </row>
    <row r="329" spans="2:19" x14ac:dyDescent="0.35">
      <c r="B329" s="1">
        <v>3379</v>
      </c>
      <c r="C329" s="1" t="s">
        <v>22</v>
      </c>
      <c r="D329" s="1" t="s">
        <v>20</v>
      </c>
      <c r="E329" s="1">
        <v>2</v>
      </c>
      <c r="F329" s="28">
        <v>6</v>
      </c>
      <c r="G329" s="28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2</v>
      </c>
      <c r="R329" s="1">
        <v>0</v>
      </c>
      <c r="S329" s="1">
        <v>0</v>
      </c>
    </row>
    <row r="330" spans="2:19" x14ac:dyDescent="0.35">
      <c r="B330" s="1">
        <v>3380</v>
      </c>
      <c r="C330" s="1" t="s">
        <v>17</v>
      </c>
      <c r="D330" s="1" t="s">
        <v>20</v>
      </c>
      <c r="E330" s="1">
        <v>0</v>
      </c>
      <c r="F330" s="28">
        <v>1</v>
      </c>
      <c r="G330" s="28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8</v>
      </c>
      <c r="R330" s="1">
        <v>0</v>
      </c>
      <c r="S330" s="1">
        <v>1</v>
      </c>
    </row>
    <row r="331" spans="2:19" x14ac:dyDescent="0.35">
      <c r="B331" s="1">
        <v>3381</v>
      </c>
      <c r="C331" s="1" t="s">
        <v>19</v>
      </c>
      <c r="D331" s="1" t="s">
        <v>20</v>
      </c>
      <c r="E331" s="1">
        <v>0</v>
      </c>
      <c r="F331" s="28">
        <v>6</v>
      </c>
      <c r="G331" s="28">
        <v>0</v>
      </c>
      <c r="H331" s="1">
        <v>0</v>
      </c>
      <c r="I331" s="1">
        <v>0</v>
      </c>
      <c r="J331" s="1">
        <v>2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2</v>
      </c>
      <c r="R331" s="1">
        <v>0</v>
      </c>
      <c r="S331" s="1">
        <v>0</v>
      </c>
    </row>
    <row r="332" spans="2:19" x14ac:dyDescent="0.35">
      <c r="B332" s="1">
        <v>3382</v>
      </c>
      <c r="C332" s="1" t="s">
        <v>17</v>
      </c>
      <c r="D332" s="1" t="s">
        <v>20</v>
      </c>
      <c r="E332" s="1">
        <v>0</v>
      </c>
      <c r="F332" s="28">
        <v>3</v>
      </c>
      <c r="G332" s="28">
        <v>0</v>
      </c>
      <c r="H332" s="1">
        <v>0</v>
      </c>
      <c r="I332" s="1">
        <v>2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5</v>
      </c>
      <c r="R332" s="1">
        <v>0</v>
      </c>
      <c r="S332" s="1">
        <v>0</v>
      </c>
    </row>
    <row r="333" spans="2:19" x14ac:dyDescent="0.35">
      <c r="B333" s="1">
        <v>3383</v>
      </c>
      <c r="C333" s="1" t="s">
        <v>17</v>
      </c>
      <c r="D333" s="1" t="s">
        <v>18</v>
      </c>
      <c r="E333" s="1">
        <v>0</v>
      </c>
      <c r="F333" s="28">
        <v>3</v>
      </c>
      <c r="G333" s="28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5</v>
      </c>
      <c r="R333" s="1">
        <v>0</v>
      </c>
      <c r="S333" s="1">
        <v>2</v>
      </c>
    </row>
    <row r="334" spans="2:19" x14ac:dyDescent="0.35">
      <c r="B334" s="1">
        <v>3384</v>
      </c>
      <c r="C334" s="1" t="s">
        <v>17</v>
      </c>
      <c r="D334" s="1" t="s">
        <v>20</v>
      </c>
      <c r="E334" s="1">
        <v>0</v>
      </c>
      <c r="F334" s="28">
        <v>5</v>
      </c>
      <c r="G334" s="28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2</v>
      </c>
      <c r="N334" s="1">
        <v>0</v>
      </c>
      <c r="O334" s="1">
        <v>0</v>
      </c>
      <c r="P334" s="1">
        <v>0</v>
      </c>
      <c r="Q334" s="1">
        <v>3</v>
      </c>
      <c r="R334" s="1">
        <v>0</v>
      </c>
      <c r="S334" s="1">
        <v>0</v>
      </c>
    </row>
    <row r="335" spans="2:19" x14ac:dyDescent="0.35">
      <c r="B335" s="1">
        <v>3385</v>
      </c>
      <c r="C335" s="1" t="s">
        <v>23</v>
      </c>
      <c r="D335" s="1" t="s">
        <v>20</v>
      </c>
      <c r="E335" s="1">
        <v>0</v>
      </c>
      <c r="F335" s="28">
        <v>2</v>
      </c>
      <c r="G335" s="28">
        <v>0</v>
      </c>
      <c r="H335" s="1">
        <v>0</v>
      </c>
      <c r="I335" s="1">
        <v>3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5</v>
      </c>
      <c r="R335" s="1">
        <v>0</v>
      </c>
      <c r="S335" s="1">
        <v>0</v>
      </c>
    </row>
    <row r="336" spans="2:19" x14ac:dyDescent="0.35">
      <c r="B336" s="1">
        <v>3386</v>
      </c>
      <c r="C336" s="1" t="s">
        <v>17</v>
      </c>
      <c r="D336" s="1" t="s">
        <v>20</v>
      </c>
      <c r="E336" s="1">
        <v>1</v>
      </c>
      <c r="F336" s="28">
        <v>6</v>
      </c>
      <c r="G336" s="28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3</v>
      </c>
      <c r="R336" s="1">
        <v>0</v>
      </c>
      <c r="S336" s="1">
        <v>0</v>
      </c>
    </row>
    <row r="337" spans="2:19" x14ac:dyDescent="0.35">
      <c r="B337" s="1">
        <v>3387</v>
      </c>
      <c r="C337" s="1" t="s">
        <v>21</v>
      </c>
      <c r="D337" s="1" t="s">
        <v>20</v>
      </c>
      <c r="E337" s="1">
        <v>0</v>
      </c>
      <c r="F337" s="28">
        <v>0</v>
      </c>
      <c r="G337" s="28">
        <v>3</v>
      </c>
      <c r="H337" s="1">
        <v>5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2</v>
      </c>
    </row>
    <row r="338" spans="2:19" x14ac:dyDescent="0.35">
      <c r="B338" s="1">
        <v>3388</v>
      </c>
      <c r="C338" s="1" t="s">
        <v>17</v>
      </c>
      <c r="D338" s="1" t="s">
        <v>18</v>
      </c>
      <c r="E338" s="1">
        <v>0</v>
      </c>
      <c r="F338" s="28">
        <v>1</v>
      </c>
      <c r="G338" s="28">
        <v>0</v>
      </c>
      <c r="H338" s="1">
        <v>6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3</v>
      </c>
      <c r="P338" s="1">
        <v>0</v>
      </c>
      <c r="Q338" s="1">
        <v>0</v>
      </c>
      <c r="R338" s="1">
        <v>0</v>
      </c>
      <c r="S338" s="1">
        <v>0</v>
      </c>
    </row>
    <row r="339" spans="2:19" x14ac:dyDescent="0.35">
      <c r="B339" s="1">
        <v>3389</v>
      </c>
      <c r="C339" s="1" t="s">
        <v>19</v>
      </c>
      <c r="D339" s="1" t="s">
        <v>20</v>
      </c>
      <c r="E339" s="1">
        <v>0</v>
      </c>
      <c r="F339" s="28">
        <v>3</v>
      </c>
      <c r="G339" s="28">
        <v>0</v>
      </c>
      <c r="H339" s="1">
        <v>6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1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</row>
    <row r="340" spans="2:19" x14ac:dyDescent="0.35">
      <c r="B340" s="1">
        <v>3390</v>
      </c>
      <c r="C340" s="1" t="s">
        <v>19</v>
      </c>
      <c r="D340" s="1" t="s">
        <v>20</v>
      </c>
      <c r="E340" s="1">
        <v>0</v>
      </c>
      <c r="F340" s="28">
        <v>0</v>
      </c>
      <c r="G340" s="28">
        <v>0</v>
      </c>
      <c r="H340" s="1">
        <v>5</v>
      </c>
      <c r="I340" s="1">
        <v>0</v>
      </c>
      <c r="J340" s="1">
        <v>0</v>
      </c>
      <c r="K340" s="1">
        <v>2</v>
      </c>
      <c r="L340" s="1">
        <v>0</v>
      </c>
      <c r="M340" s="1">
        <v>0</v>
      </c>
      <c r="N340" s="1">
        <v>0</v>
      </c>
      <c r="O340" s="1">
        <v>3</v>
      </c>
      <c r="P340" s="1">
        <v>0</v>
      </c>
      <c r="Q340" s="1">
        <v>0</v>
      </c>
      <c r="R340" s="1">
        <v>0</v>
      </c>
      <c r="S340" s="1">
        <v>0</v>
      </c>
    </row>
    <row r="341" spans="2:19" x14ac:dyDescent="0.35">
      <c r="B341" s="1">
        <v>3391</v>
      </c>
      <c r="C341" s="1" t="s">
        <v>17</v>
      </c>
      <c r="D341" s="1" t="s">
        <v>18</v>
      </c>
      <c r="E341" s="1">
        <v>0</v>
      </c>
      <c r="F341" s="28">
        <v>0</v>
      </c>
      <c r="G341" s="28">
        <v>0</v>
      </c>
      <c r="H341" s="1">
        <v>6</v>
      </c>
      <c r="I341" s="1">
        <v>0</v>
      </c>
      <c r="J341" s="1">
        <v>0</v>
      </c>
      <c r="K341" s="1">
        <v>1</v>
      </c>
      <c r="L341" s="1">
        <v>0</v>
      </c>
      <c r="M341" s="1">
        <v>0</v>
      </c>
      <c r="N341" s="1">
        <v>0</v>
      </c>
      <c r="O341" s="1">
        <v>3</v>
      </c>
      <c r="P341" s="1">
        <v>0</v>
      </c>
      <c r="Q341" s="1">
        <v>0</v>
      </c>
      <c r="R341" s="1">
        <v>0</v>
      </c>
      <c r="S341" s="1">
        <v>0</v>
      </c>
    </row>
    <row r="342" spans="2:19" x14ac:dyDescent="0.35">
      <c r="B342" s="1">
        <v>3392</v>
      </c>
      <c r="C342" s="1" t="s">
        <v>19</v>
      </c>
      <c r="D342" s="1" t="s">
        <v>20</v>
      </c>
      <c r="E342" s="1">
        <v>0</v>
      </c>
      <c r="F342" s="28">
        <v>2</v>
      </c>
      <c r="G342" s="28">
        <v>0</v>
      </c>
      <c r="H342" s="1">
        <v>6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2</v>
      </c>
      <c r="P342" s="1">
        <v>0</v>
      </c>
      <c r="Q342" s="1">
        <v>0</v>
      </c>
      <c r="R342" s="1">
        <v>0</v>
      </c>
      <c r="S342" s="1">
        <v>0</v>
      </c>
    </row>
    <row r="343" spans="2:19" x14ac:dyDescent="0.35">
      <c r="B343" s="1">
        <v>3393</v>
      </c>
      <c r="C343" s="1" t="s">
        <v>19</v>
      </c>
      <c r="D343" s="1" t="s">
        <v>18</v>
      </c>
      <c r="E343" s="1">
        <v>0</v>
      </c>
      <c r="F343" s="28">
        <v>0</v>
      </c>
      <c r="G343" s="28">
        <v>0</v>
      </c>
      <c r="H343" s="1">
        <v>6</v>
      </c>
      <c r="I343" s="1">
        <v>0</v>
      </c>
      <c r="J343" s="1">
        <v>0</v>
      </c>
      <c r="K343" s="1">
        <v>0</v>
      </c>
      <c r="L343" s="1">
        <v>1</v>
      </c>
      <c r="M343" s="1">
        <v>0</v>
      </c>
      <c r="N343" s="1">
        <v>0</v>
      </c>
      <c r="O343" s="1">
        <v>3</v>
      </c>
      <c r="P343" s="1">
        <v>0</v>
      </c>
      <c r="Q343" s="1">
        <v>0</v>
      </c>
      <c r="R343" s="1">
        <v>0</v>
      </c>
      <c r="S343" s="1">
        <v>0</v>
      </c>
    </row>
    <row r="344" spans="2:19" x14ac:dyDescent="0.35">
      <c r="B344" s="1">
        <v>3394</v>
      </c>
      <c r="C344" s="1" t="s">
        <v>26</v>
      </c>
      <c r="D344" s="1" t="s">
        <v>18</v>
      </c>
      <c r="E344" s="1">
        <v>0</v>
      </c>
      <c r="F344" s="28">
        <v>0</v>
      </c>
      <c r="G344" s="28">
        <v>0</v>
      </c>
      <c r="H344" s="1">
        <v>7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2</v>
      </c>
      <c r="P344" s="1">
        <v>0</v>
      </c>
      <c r="Q344" s="1">
        <v>0</v>
      </c>
      <c r="R344" s="1">
        <v>0</v>
      </c>
      <c r="S344" s="1">
        <v>1</v>
      </c>
    </row>
    <row r="345" spans="2:19" x14ac:dyDescent="0.35">
      <c r="B345" s="1">
        <v>3395</v>
      </c>
      <c r="C345" s="1" t="s">
        <v>19</v>
      </c>
      <c r="D345" s="1" t="s">
        <v>18</v>
      </c>
      <c r="E345" s="1">
        <v>0</v>
      </c>
      <c r="F345" s="28">
        <v>0</v>
      </c>
      <c r="G345" s="28">
        <v>0</v>
      </c>
      <c r="H345" s="1">
        <v>5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2</v>
      </c>
      <c r="O345" s="1">
        <v>3</v>
      </c>
      <c r="P345" s="1">
        <v>0</v>
      </c>
      <c r="Q345" s="1">
        <v>0</v>
      </c>
      <c r="R345" s="1">
        <v>0</v>
      </c>
      <c r="S345" s="1">
        <v>0</v>
      </c>
    </row>
    <row r="346" spans="2:19" x14ac:dyDescent="0.35">
      <c r="B346" s="1">
        <v>3396</v>
      </c>
      <c r="C346" s="1" t="s">
        <v>24</v>
      </c>
      <c r="D346" s="1" t="s">
        <v>18</v>
      </c>
      <c r="E346" s="1">
        <v>0</v>
      </c>
      <c r="F346" s="28">
        <v>0</v>
      </c>
      <c r="G346" s="28">
        <v>0</v>
      </c>
      <c r="H346" s="1">
        <v>8</v>
      </c>
      <c r="I346" s="1">
        <v>0</v>
      </c>
      <c r="J346" s="1">
        <v>0</v>
      </c>
      <c r="K346" s="1">
        <v>1</v>
      </c>
      <c r="L346" s="1">
        <v>0</v>
      </c>
      <c r="M346" s="1">
        <v>0</v>
      </c>
      <c r="N346" s="1">
        <v>0</v>
      </c>
      <c r="O346" s="1">
        <v>1</v>
      </c>
      <c r="P346" s="1">
        <v>0</v>
      </c>
      <c r="Q346" s="1">
        <v>0</v>
      </c>
      <c r="R346" s="1">
        <v>0</v>
      </c>
      <c r="S346" s="1">
        <v>0</v>
      </c>
    </row>
    <row r="347" spans="2:19" x14ac:dyDescent="0.35">
      <c r="B347" s="1">
        <v>3397</v>
      </c>
      <c r="C347" s="1" t="s">
        <v>25</v>
      </c>
      <c r="D347" s="1" t="s">
        <v>18</v>
      </c>
      <c r="E347" s="1">
        <v>0</v>
      </c>
      <c r="F347" s="28">
        <v>0</v>
      </c>
      <c r="G347" s="28">
        <v>0</v>
      </c>
      <c r="H347" s="1">
        <v>6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1</v>
      </c>
      <c r="O347" s="1">
        <v>3</v>
      </c>
      <c r="P347" s="1">
        <v>0</v>
      </c>
      <c r="Q347" s="1">
        <v>0</v>
      </c>
      <c r="R347" s="1">
        <v>0</v>
      </c>
      <c r="S347" s="1">
        <v>0</v>
      </c>
    </row>
    <row r="348" spans="2:19" x14ac:dyDescent="0.35">
      <c r="B348" s="1">
        <v>3398</v>
      </c>
      <c r="C348" s="1" t="s">
        <v>22</v>
      </c>
      <c r="D348" s="1" t="s">
        <v>18</v>
      </c>
      <c r="E348" s="1">
        <v>0</v>
      </c>
      <c r="F348" s="28">
        <v>0</v>
      </c>
      <c r="G348" s="28">
        <v>0</v>
      </c>
      <c r="H348" s="1">
        <v>8</v>
      </c>
      <c r="I348" s="1">
        <v>1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1</v>
      </c>
      <c r="P348" s="1">
        <v>0</v>
      </c>
      <c r="Q348" s="1">
        <v>0</v>
      </c>
      <c r="R348" s="1">
        <v>0</v>
      </c>
      <c r="S348" s="1">
        <v>0</v>
      </c>
    </row>
    <row r="349" spans="2:19" x14ac:dyDescent="0.35">
      <c r="B349" s="1">
        <v>3399</v>
      </c>
      <c r="C349" s="1" t="s">
        <v>19</v>
      </c>
      <c r="D349" s="1" t="s">
        <v>18</v>
      </c>
      <c r="E349" s="1">
        <v>0</v>
      </c>
      <c r="F349" s="28">
        <v>0</v>
      </c>
      <c r="G349" s="28">
        <v>0</v>
      </c>
      <c r="H349" s="1">
        <v>5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4</v>
      </c>
      <c r="P349" s="1">
        <v>1</v>
      </c>
      <c r="Q349" s="1">
        <v>0</v>
      </c>
      <c r="R349" s="1">
        <v>0</v>
      </c>
      <c r="S349" s="1">
        <v>0</v>
      </c>
    </row>
    <row r="350" spans="2:19" x14ac:dyDescent="0.35">
      <c r="B350" s="1">
        <v>3400</v>
      </c>
      <c r="C350" s="1" t="s">
        <v>19</v>
      </c>
      <c r="D350" s="1" t="s">
        <v>18</v>
      </c>
      <c r="E350" s="1">
        <v>1</v>
      </c>
      <c r="F350" s="28">
        <v>0</v>
      </c>
      <c r="G350" s="28">
        <v>0</v>
      </c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2</v>
      </c>
      <c r="P350" s="1">
        <v>0</v>
      </c>
      <c r="Q350" s="1">
        <v>0</v>
      </c>
      <c r="R350" s="1">
        <v>0</v>
      </c>
      <c r="S350" s="1">
        <v>0</v>
      </c>
    </row>
    <row r="351" spans="2:19" x14ac:dyDescent="0.35">
      <c r="B351" s="1">
        <v>3401</v>
      </c>
      <c r="C351" s="1" t="s">
        <v>23</v>
      </c>
      <c r="D351" s="1" t="s">
        <v>20</v>
      </c>
      <c r="E351" s="1">
        <v>0</v>
      </c>
      <c r="F351" s="28">
        <v>0</v>
      </c>
      <c r="G351" s="28">
        <v>0</v>
      </c>
      <c r="H351" s="1">
        <v>8</v>
      </c>
      <c r="I351" s="1">
        <v>0</v>
      </c>
      <c r="J351" s="1">
        <v>1</v>
      </c>
      <c r="K351" s="1">
        <v>0</v>
      </c>
      <c r="L351" s="1">
        <v>0</v>
      </c>
      <c r="M351" s="1">
        <v>0</v>
      </c>
      <c r="N351" s="1">
        <v>0</v>
      </c>
      <c r="O351" s="1">
        <v>1</v>
      </c>
      <c r="P351" s="1">
        <v>0</v>
      </c>
      <c r="Q351" s="1">
        <v>0</v>
      </c>
      <c r="R351" s="1">
        <v>0</v>
      </c>
      <c r="S351" s="1">
        <v>0</v>
      </c>
    </row>
    <row r="352" spans="2:19" x14ac:dyDescent="0.35">
      <c r="B352" s="1">
        <v>3402</v>
      </c>
      <c r="C352" s="1" t="s">
        <v>22</v>
      </c>
      <c r="D352" s="1" t="s">
        <v>20</v>
      </c>
      <c r="E352" s="1">
        <v>0</v>
      </c>
      <c r="F352" s="28">
        <v>0</v>
      </c>
      <c r="G352" s="28">
        <v>0</v>
      </c>
      <c r="H352" s="1">
        <v>6</v>
      </c>
      <c r="I352" s="1">
        <v>0</v>
      </c>
      <c r="J352" s="1">
        <v>0</v>
      </c>
      <c r="K352" s="1">
        <v>0</v>
      </c>
      <c r="L352" s="1">
        <v>0</v>
      </c>
      <c r="M352" s="1">
        <v>1</v>
      </c>
      <c r="N352" s="1">
        <v>0</v>
      </c>
      <c r="O352" s="1">
        <v>3</v>
      </c>
      <c r="P352" s="1">
        <v>0</v>
      </c>
      <c r="Q352" s="1">
        <v>0</v>
      </c>
      <c r="R352" s="1">
        <v>0</v>
      </c>
      <c r="S352" s="1">
        <v>0</v>
      </c>
    </row>
    <row r="353" spans="2:19" x14ac:dyDescent="0.35">
      <c r="B353" s="1">
        <v>3403</v>
      </c>
      <c r="C353" s="1" t="s">
        <v>19</v>
      </c>
      <c r="D353" s="1" t="s">
        <v>18</v>
      </c>
      <c r="E353" s="1">
        <v>0</v>
      </c>
      <c r="F353" s="28">
        <v>0</v>
      </c>
      <c r="G353" s="28">
        <v>0</v>
      </c>
      <c r="H353" s="1">
        <v>6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1</v>
      </c>
      <c r="O353" s="1">
        <v>3</v>
      </c>
      <c r="P353" s="1">
        <v>0</v>
      </c>
      <c r="Q353" s="1">
        <v>0</v>
      </c>
      <c r="R353" s="1">
        <v>0</v>
      </c>
      <c r="S353" s="1">
        <v>0</v>
      </c>
    </row>
    <row r="354" spans="2:19" x14ac:dyDescent="0.35">
      <c r="B354" s="1">
        <v>3404</v>
      </c>
      <c r="C354" s="1" t="s">
        <v>17</v>
      </c>
      <c r="D354" s="1" t="s">
        <v>18</v>
      </c>
      <c r="E354" s="1">
        <v>2</v>
      </c>
      <c r="F354" s="28">
        <v>0</v>
      </c>
      <c r="G354" s="28">
        <v>0</v>
      </c>
      <c r="H354" s="1">
        <v>5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3</v>
      </c>
      <c r="P354" s="1">
        <v>0</v>
      </c>
      <c r="Q354" s="1">
        <v>0</v>
      </c>
      <c r="R354" s="1">
        <v>0</v>
      </c>
      <c r="S354" s="1">
        <v>0</v>
      </c>
    </row>
    <row r="355" spans="2:19" x14ac:dyDescent="0.35">
      <c r="B355" s="1">
        <v>3405</v>
      </c>
      <c r="C355" s="1" t="s">
        <v>26</v>
      </c>
      <c r="D355" s="1" t="s">
        <v>20</v>
      </c>
      <c r="E355" s="1">
        <v>3</v>
      </c>
      <c r="F355" s="28">
        <v>0</v>
      </c>
      <c r="G355" s="28">
        <v>0</v>
      </c>
      <c r="H355" s="1">
        <v>5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2</v>
      </c>
    </row>
    <row r="356" spans="2:19" x14ac:dyDescent="0.35">
      <c r="B356" s="1">
        <v>3406</v>
      </c>
      <c r="C356" s="1" t="s">
        <v>17</v>
      </c>
      <c r="D356" s="1" t="s">
        <v>20</v>
      </c>
      <c r="E356" s="1">
        <v>0</v>
      </c>
      <c r="F356" s="28">
        <v>0</v>
      </c>
      <c r="G356" s="28">
        <v>0</v>
      </c>
      <c r="H356" s="1">
        <v>7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1</v>
      </c>
      <c r="O356" s="1">
        <v>2</v>
      </c>
      <c r="P356" s="1">
        <v>0</v>
      </c>
      <c r="Q356" s="1">
        <v>0</v>
      </c>
      <c r="R356" s="1">
        <v>0</v>
      </c>
      <c r="S356" s="1">
        <v>0</v>
      </c>
    </row>
    <row r="357" spans="2:19" x14ac:dyDescent="0.35">
      <c r="B357" s="1">
        <v>3407</v>
      </c>
      <c r="C357" s="1" t="s">
        <v>23</v>
      </c>
      <c r="D357" s="1" t="s">
        <v>20</v>
      </c>
      <c r="E357" s="1">
        <v>0</v>
      </c>
      <c r="F357" s="28">
        <v>0</v>
      </c>
      <c r="G357" s="28">
        <v>0</v>
      </c>
      <c r="H357" s="1">
        <v>6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3</v>
      </c>
      <c r="P357" s="1">
        <v>0</v>
      </c>
      <c r="Q357" s="1">
        <v>0</v>
      </c>
      <c r="R357" s="1">
        <v>0</v>
      </c>
      <c r="S357" s="1">
        <v>1</v>
      </c>
    </row>
    <row r="358" spans="2:19" x14ac:dyDescent="0.35">
      <c r="B358" s="1">
        <v>3408</v>
      </c>
      <c r="C358" s="1" t="s">
        <v>17</v>
      </c>
      <c r="D358" s="1" t="s">
        <v>18</v>
      </c>
      <c r="E358" s="1">
        <v>0</v>
      </c>
      <c r="F358" s="28">
        <v>0</v>
      </c>
      <c r="G358" s="28">
        <v>0</v>
      </c>
      <c r="H358" s="1">
        <v>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1</v>
      </c>
      <c r="O358" s="1">
        <v>4</v>
      </c>
      <c r="P358" s="1">
        <v>0</v>
      </c>
      <c r="Q358" s="1">
        <v>0</v>
      </c>
      <c r="R358" s="1">
        <v>0</v>
      </c>
      <c r="S358" s="1">
        <v>0</v>
      </c>
    </row>
    <row r="359" spans="2:19" x14ac:dyDescent="0.35">
      <c r="B359" s="1">
        <v>3409</v>
      </c>
      <c r="C359" s="1" t="s">
        <v>23</v>
      </c>
      <c r="D359" s="1" t="s">
        <v>18</v>
      </c>
      <c r="E359" s="1">
        <v>0</v>
      </c>
      <c r="F359" s="28">
        <v>0</v>
      </c>
      <c r="G359" s="28">
        <v>0</v>
      </c>
      <c r="H359" s="1">
        <v>0</v>
      </c>
      <c r="I359" s="1">
        <v>7</v>
      </c>
      <c r="J359" s="1">
        <v>1</v>
      </c>
      <c r="K359" s="1">
        <v>0</v>
      </c>
      <c r="L359" s="1">
        <v>0</v>
      </c>
      <c r="M359" s="1">
        <v>2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</row>
    <row r="360" spans="2:19" x14ac:dyDescent="0.35">
      <c r="B360" s="1">
        <v>3410</v>
      </c>
      <c r="C360" s="1" t="s">
        <v>21</v>
      </c>
      <c r="D360" s="1" t="s">
        <v>20</v>
      </c>
      <c r="E360" s="1">
        <v>0</v>
      </c>
      <c r="F360" s="28">
        <v>0</v>
      </c>
      <c r="G360" s="28">
        <v>0</v>
      </c>
      <c r="H360" s="1">
        <v>0</v>
      </c>
      <c r="I360" s="1">
        <v>5</v>
      </c>
      <c r="J360" s="1">
        <v>1</v>
      </c>
      <c r="K360" s="1">
        <v>0</v>
      </c>
      <c r="L360" s="1">
        <v>0</v>
      </c>
      <c r="M360" s="1">
        <v>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</row>
    <row r="361" spans="2:19" x14ac:dyDescent="0.35">
      <c r="B361" s="1">
        <v>3411</v>
      </c>
      <c r="C361" s="1" t="s">
        <v>21</v>
      </c>
      <c r="D361" s="1" t="s">
        <v>20</v>
      </c>
      <c r="E361" s="1">
        <v>0</v>
      </c>
      <c r="F361" s="28">
        <v>0</v>
      </c>
      <c r="G361" s="28">
        <v>0</v>
      </c>
      <c r="H361" s="1">
        <v>0</v>
      </c>
      <c r="I361" s="1">
        <v>5</v>
      </c>
      <c r="J361" s="1">
        <v>0</v>
      </c>
      <c r="K361" s="1">
        <v>0</v>
      </c>
      <c r="L361" s="1">
        <v>0</v>
      </c>
      <c r="M361" s="1">
        <v>3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2</v>
      </c>
    </row>
    <row r="362" spans="2:19" x14ac:dyDescent="0.35">
      <c r="B362" s="1">
        <v>3412</v>
      </c>
      <c r="C362" s="1" t="s">
        <v>19</v>
      </c>
      <c r="D362" s="1" t="s">
        <v>20</v>
      </c>
      <c r="E362" s="1">
        <v>0</v>
      </c>
      <c r="F362" s="28">
        <v>0</v>
      </c>
      <c r="G362" s="28">
        <v>0</v>
      </c>
      <c r="H362" s="1">
        <v>0</v>
      </c>
      <c r="I362" s="1">
        <v>5</v>
      </c>
      <c r="J362" s="1">
        <v>2</v>
      </c>
      <c r="K362" s="1">
        <v>0</v>
      </c>
      <c r="L362" s="1">
        <v>0</v>
      </c>
      <c r="M362" s="1">
        <v>3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</row>
    <row r="363" spans="2:19" x14ac:dyDescent="0.35">
      <c r="B363" s="1">
        <v>3413</v>
      </c>
      <c r="C363" s="1" t="s">
        <v>19</v>
      </c>
      <c r="D363" s="1" t="s">
        <v>18</v>
      </c>
      <c r="E363" s="1">
        <v>0</v>
      </c>
      <c r="F363" s="28">
        <v>0</v>
      </c>
      <c r="G363" s="28">
        <v>0</v>
      </c>
      <c r="H363" s="1">
        <v>0</v>
      </c>
      <c r="I363" s="1">
        <v>5</v>
      </c>
      <c r="J363" s="1">
        <v>1</v>
      </c>
      <c r="K363" s="1">
        <v>0</v>
      </c>
      <c r="L363" s="1">
        <v>0</v>
      </c>
      <c r="M363" s="1">
        <v>4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</row>
    <row r="364" spans="2:19" x14ac:dyDescent="0.35">
      <c r="B364" s="1">
        <v>3414</v>
      </c>
      <c r="C364" s="1" t="s">
        <v>17</v>
      </c>
      <c r="D364" s="1" t="s">
        <v>18</v>
      </c>
      <c r="E364" s="1">
        <v>0</v>
      </c>
      <c r="F364" s="28">
        <v>0</v>
      </c>
      <c r="G364" s="28">
        <v>0</v>
      </c>
      <c r="H364" s="1">
        <v>0</v>
      </c>
      <c r="I364" s="1">
        <v>7</v>
      </c>
      <c r="J364" s="1">
        <v>1</v>
      </c>
      <c r="K364" s="1">
        <v>0</v>
      </c>
      <c r="L364" s="1">
        <v>0</v>
      </c>
      <c r="M364" s="1">
        <v>2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</row>
    <row r="365" spans="2:19" x14ac:dyDescent="0.35">
      <c r="B365" s="1">
        <v>3415</v>
      </c>
      <c r="C365" s="1" t="s">
        <v>17</v>
      </c>
      <c r="D365" s="1" t="s">
        <v>18</v>
      </c>
      <c r="E365" s="1">
        <v>0</v>
      </c>
      <c r="F365" s="28">
        <v>0</v>
      </c>
      <c r="G365" s="28">
        <v>0</v>
      </c>
      <c r="H365" s="1">
        <v>0</v>
      </c>
      <c r="I365" s="1">
        <v>5</v>
      </c>
      <c r="J365" s="1">
        <v>2</v>
      </c>
      <c r="K365" s="1">
        <v>0</v>
      </c>
      <c r="L365" s="1">
        <v>0</v>
      </c>
      <c r="M365" s="1">
        <v>3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</row>
    <row r="366" spans="2:19" x14ac:dyDescent="0.35">
      <c r="B366" s="1">
        <v>3416</v>
      </c>
      <c r="C366" s="1" t="s">
        <v>22</v>
      </c>
      <c r="D366" s="1" t="s">
        <v>18</v>
      </c>
      <c r="E366" s="1">
        <v>0</v>
      </c>
      <c r="F366" s="28">
        <v>0</v>
      </c>
      <c r="G366" s="28">
        <v>0</v>
      </c>
      <c r="H366" s="1">
        <v>0</v>
      </c>
      <c r="I366" s="1">
        <v>5</v>
      </c>
      <c r="J366" s="1">
        <v>1</v>
      </c>
      <c r="K366" s="1">
        <v>0</v>
      </c>
      <c r="L366" s="1">
        <v>0</v>
      </c>
      <c r="M366" s="1">
        <v>4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</row>
    <row r="367" spans="2:19" x14ac:dyDescent="0.35">
      <c r="B367" s="1">
        <v>3417</v>
      </c>
      <c r="C367" s="1" t="s">
        <v>17</v>
      </c>
      <c r="D367" s="1" t="s">
        <v>20</v>
      </c>
      <c r="E367" s="1">
        <v>0</v>
      </c>
      <c r="F367" s="28">
        <v>0</v>
      </c>
      <c r="G367" s="28">
        <v>0</v>
      </c>
      <c r="H367" s="1">
        <v>0</v>
      </c>
      <c r="I367" s="1">
        <v>5</v>
      </c>
      <c r="J367" s="1">
        <v>0</v>
      </c>
      <c r="K367" s="1">
        <v>0</v>
      </c>
      <c r="L367" s="1">
        <v>0</v>
      </c>
      <c r="M367" s="1">
        <v>4</v>
      </c>
      <c r="N367" s="1">
        <v>1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</row>
    <row r="368" spans="2:19" x14ac:dyDescent="0.35">
      <c r="B368" s="1">
        <v>3418</v>
      </c>
      <c r="C368" s="1" t="s">
        <v>24</v>
      </c>
      <c r="D368" s="1" t="s">
        <v>18</v>
      </c>
      <c r="E368" s="1">
        <v>0</v>
      </c>
      <c r="F368" s="28">
        <v>0</v>
      </c>
      <c r="G368" s="28">
        <v>0</v>
      </c>
      <c r="H368" s="1">
        <v>0</v>
      </c>
      <c r="I368" s="1">
        <v>4</v>
      </c>
      <c r="J368" s="1">
        <v>1</v>
      </c>
      <c r="K368" s="1">
        <v>0</v>
      </c>
      <c r="L368" s="1">
        <v>5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</row>
    <row r="369" spans="2:19" x14ac:dyDescent="0.35">
      <c r="B369" s="1">
        <v>3419</v>
      </c>
      <c r="C369" s="1" t="s">
        <v>17</v>
      </c>
      <c r="D369" s="1" t="s">
        <v>20</v>
      </c>
      <c r="E369" s="1">
        <v>0</v>
      </c>
      <c r="F369" s="28">
        <v>0</v>
      </c>
      <c r="G369" s="28">
        <v>0</v>
      </c>
      <c r="H369" s="1">
        <v>0</v>
      </c>
      <c r="I369" s="1">
        <v>8</v>
      </c>
      <c r="J369" s="1">
        <v>0</v>
      </c>
      <c r="K369" s="1">
        <v>0</v>
      </c>
      <c r="L369" s="1">
        <v>0</v>
      </c>
      <c r="M369" s="1">
        <v>1</v>
      </c>
      <c r="N369" s="1">
        <v>0</v>
      </c>
      <c r="O369" s="1">
        <v>0</v>
      </c>
      <c r="P369" s="1">
        <v>1</v>
      </c>
      <c r="Q369" s="1">
        <v>0</v>
      </c>
      <c r="R369" s="1">
        <v>0</v>
      </c>
      <c r="S369" s="1">
        <v>0</v>
      </c>
    </row>
    <row r="370" spans="2:19" x14ac:dyDescent="0.35">
      <c r="B370" s="1">
        <v>3420</v>
      </c>
      <c r="C370" s="1" t="s">
        <v>17</v>
      </c>
      <c r="D370" s="1" t="s">
        <v>20</v>
      </c>
      <c r="E370" s="1">
        <v>0</v>
      </c>
      <c r="F370" s="28">
        <v>0</v>
      </c>
      <c r="G370" s="28">
        <v>0</v>
      </c>
      <c r="H370" s="1">
        <v>0</v>
      </c>
      <c r="I370" s="1">
        <v>5</v>
      </c>
      <c r="J370" s="1">
        <v>0</v>
      </c>
      <c r="K370" s="1">
        <v>0</v>
      </c>
      <c r="L370" s="1">
        <v>0</v>
      </c>
      <c r="M370" s="1">
        <v>5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</row>
    <row r="371" spans="2:19" x14ac:dyDescent="0.35">
      <c r="B371" s="1">
        <v>3421</v>
      </c>
      <c r="C371" s="1" t="s">
        <v>23</v>
      </c>
      <c r="D371" s="1" t="s">
        <v>18</v>
      </c>
      <c r="E371" s="1">
        <v>0</v>
      </c>
      <c r="F371" s="28">
        <v>0</v>
      </c>
      <c r="G371" s="28">
        <v>0</v>
      </c>
      <c r="H371" s="1">
        <v>0</v>
      </c>
      <c r="I371" s="1">
        <v>7</v>
      </c>
      <c r="J371" s="1">
        <v>1</v>
      </c>
      <c r="K371" s="1">
        <v>0</v>
      </c>
      <c r="L371" s="1">
        <v>0</v>
      </c>
      <c r="M371" s="1">
        <v>2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</row>
    <row r="372" spans="2:19" x14ac:dyDescent="0.35">
      <c r="B372" s="1">
        <v>3422</v>
      </c>
      <c r="C372" s="1" t="s">
        <v>22</v>
      </c>
      <c r="D372" s="1" t="s">
        <v>18</v>
      </c>
      <c r="E372" s="1">
        <v>0</v>
      </c>
      <c r="F372" s="28">
        <v>0</v>
      </c>
      <c r="G372" s="28">
        <v>0</v>
      </c>
      <c r="H372" s="1">
        <v>0</v>
      </c>
      <c r="I372" s="1">
        <v>5</v>
      </c>
      <c r="J372" s="1">
        <v>0</v>
      </c>
      <c r="K372" s="1">
        <v>0</v>
      </c>
      <c r="L372" s="1">
        <v>0</v>
      </c>
      <c r="M372" s="1">
        <v>3</v>
      </c>
      <c r="N372" s="1">
        <v>2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</row>
    <row r="373" spans="2:19" x14ac:dyDescent="0.35">
      <c r="B373" s="1">
        <v>3423</v>
      </c>
      <c r="C373" s="1" t="s">
        <v>17</v>
      </c>
      <c r="D373" s="1" t="s">
        <v>18</v>
      </c>
      <c r="E373" s="1">
        <v>0</v>
      </c>
      <c r="F373" s="28">
        <v>0</v>
      </c>
      <c r="G373" s="28">
        <v>0</v>
      </c>
      <c r="H373" s="1">
        <v>0</v>
      </c>
      <c r="I373" s="1">
        <v>7</v>
      </c>
      <c r="J373" s="1">
        <v>1</v>
      </c>
      <c r="K373" s="1">
        <v>0</v>
      </c>
      <c r="L373" s="1">
        <v>0</v>
      </c>
      <c r="M373" s="1">
        <v>2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</row>
    <row r="374" spans="2:19" x14ac:dyDescent="0.35">
      <c r="B374" s="1">
        <v>3424</v>
      </c>
      <c r="C374" s="1" t="s">
        <v>19</v>
      </c>
      <c r="D374" s="1" t="s">
        <v>20</v>
      </c>
      <c r="E374" s="1">
        <v>0</v>
      </c>
      <c r="F374" s="28">
        <v>0</v>
      </c>
      <c r="G374" s="28">
        <v>0</v>
      </c>
      <c r="H374" s="1">
        <v>0</v>
      </c>
      <c r="I374" s="1">
        <v>5</v>
      </c>
      <c r="J374" s="1">
        <v>0</v>
      </c>
      <c r="K374" s="1">
        <v>0</v>
      </c>
      <c r="L374" s="1">
        <v>0</v>
      </c>
      <c r="M374" s="1">
        <v>4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</row>
    <row r="375" spans="2:19" x14ac:dyDescent="0.35">
      <c r="B375" s="1">
        <v>3425</v>
      </c>
      <c r="C375" s="1" t="s">
        <v>17</v>
      </c>
      <c r="D375" s="1" t="s">
        <v>20</v>
      </c>
      <c r="E375" s="1">
        <v>0</v>
      </c>
      <c r="F375" s="28">
        <v>0</v>
      </c>
      <c r="G375" s="28">
        <v>0</v>
      </c>
      <c r="H375" s="1">
        <v>0</v>
      </c>
      <c r="I375" s="1">
        <v>5</v>
      </c>
      <c r="J375" s="1">
        <v>0</v>
      </c>
      <c r="K375" s="1">
        <v>0</v>
      </c>
      <c r="L375" s="1">
        <v>0</v>
      </c>
      <c r="M375" s="1">
        <v>4</v>
      </c>
      <c r="N375" s="1">
        <v>0</v>
      </c>
      <c r="O375" s="1">
        <v>0</v>
      </c>
      <c r="P375" s="1">
        <v>0</v>
      </c>
      <c r="Q375" s="1">
        <v>1</v>
      </c>
      <c r="R375" s="1">
        <v>0</v>
      </c>
      <c r="S375" s="1">
        <v>0</v>
      </c>
    </row>
    <row r="376" spans="2:19" x14ac:dyDescent="0.35">
      <c r="B376" s="1">
        <v>3426</v>
      </c>
      <c r="C376" s="1" t="s">
        <v>17</v>
      </c>
      <c r="D376" s="1" t="s">
        <v>20</v>
      </c>
      <c r="E376" s="1">
        <v>0</v>
      </c>
      <c r="F376" s="28">
        <v>0</v>
      </c>
      <c r="G376" s="28">
        <v>0</v>
      </c>
      <c r="H376" s="1">
        <v>0</v>
      </c>
      <c r="I376" s="1">
        <v>6</v>
      </c>
      <c r="J376" s="1">
        <v>2</v>
      </c>
      <c r="K376" s="1">
        <v>0</v>
      </c>
      <c r="L376" s="1">
        <v>0</v>
      </c>
      <c r="M376" s="1">
        <v>2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</row>
    <row r="377" spans="2:19" x14ac:dyDescent="0.35">
      <c r="B377" s="1">
        <v>3427</v>
      </c>
      <c r="C377" s="1" t="s">
        <v>17</v>
      </c>
      <c r="D377" s="1" t="s">
        <v>18</v>
      </c>
      <c r="E377" s="1">
        <v>0</v>
      </c>
      <c r="F377" s="28">
        <v>0</v>
      </c>
      <c r="G377" s="28">
        <v>0</v>
      </c>
      <c r="H377" s="1">
        <v>0</v>
      </c>
      <c r="I377" s="1">
        <v>8</v>
      </c>
      <c r="J377" s="1">
        <v>0</v>
      </c>
      <c r="K377" s="1">
        <v>0</v>
      </c>
      <c r="L377" s="1">
        <v>0</v>
      </c>
      <c r="M377" s="1">
        <v>1</v>
      </c>
      <c r="N377" s="1">
        <v>0</v>
      </c>
      <c r="O377" s="1">
        <v>0</v>
      </c>
      <c r="P377" s="1">
        <v>1</v>
      </c>
      <c r="Q377" s="1">
        <v>0</v>
      </c>
      <c r="R377" s="1">
        <v>0</v>
      </c>
      <c r="S377" s="1">
        <v>0</v>
      </c>
    </row>
    <row r="378" spans="2:19" x14ac:dyDescent="0.35">
      <c r="B378" s="1">
        <v>3428</v>
      </c>
      <c r="C378" s="1" t="s">
        <v>23</v>
      </c>
      <c r="D378" s="1" t="s">
        <v>20</v>
      </c>
      <c r="E378" s="1">
        <v>0</v>
      </c>
      <c r="F378" s="28">
        <v>0</v>
      </c>
      <c r="G378" s="28">
        <v>0</v>
      </c>
      <c r="H378" s="1">
        <v>0</v>
      </c>
      <c r="I378" s="1">
        <v>9</v>
      </c>
      <c r="J378" s="1">
        <v>0</v>
      </c>
      <c r="K378" s="1">
        <v>0</v>
      </c>
      <c r="L378" s="1">
        <v>0</v>
      </c>
      <c r="M378" s="1">
        <v>1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</row>
    <row r="379" spans="2:19" x14ac:dyDescent="0.35">
      <c r="B379" s="1">
        <v>3429</v>
      </c>
      <c r="C379" s="1" t="s">
        <v>17</v>
      </c>
      <c r="D379" s="1" t="s">
        <v>20</v>
      </c>
      <c r="E379" s="1">
        <v>0</v>
      </c>
      <c r="F379" s="28">
        <v>0</v>
      </c>
      <c r="G379" s="28">
        <v>0</v>
      </c>
      <c r="H379" s="1">
        <v>0</v>
      </c>
      <c r="I379" s="1">
        <v>5</v>
      </c>
      <c r="J379" s="1">
        <v>0</v>
      </c>
      <c r="K379" s="1">
        <v>0</v>
      </c>
      <c r="L379" s="1">
        <v>0</v>
      </c>
      <c r="M379" s="1">
        <v>4</v>
      </c>
      <c r="N379" s="1">
        <v>0</v>
      </c>
      <c r="O379" s="1">
        <v>0</v>
      </c>
      <c r="P379" s="1">
        <v>1</v>
      </c>
      <c r="Q379" s="1">
        <v>0</v>
      </c>
      <c r="R379" s="1">
        <v>0</v>
      </c>
      <c r="S379" s="1">
        <v>0</v>
      </c>
    </row>
    <row r="380" spans="2:19" x14ac:dyDescent="0.35">
      <c r="B380" s="1">
        <v>3430</v>
      </c>
      <c r="C380" s="1" t="s">
        <v>17</v>
      </c>
      <c r="D380" s="1" t="s">
        <v>20</v>
      </c>
      <c r="E380" s="1">
        <v>0</v>
      </c>
      <c r="F380" s="28">
        <v>0</v>
      </c>
      <c r="G380" s="28">
        <v>0</v>
      </c>
      <c r="H380" s="1">
        <v>1</v>
      </c>
      <c r="I380" s="1">
        <v>6</v>
      </c>
      <c r="J380" s="1">
        <v>0</v>
      </c>
      <c r="K380" s="1">
        <v>0</v>
      </c>
      <c r="L380" s="1">
        <v>0</v>
      </c>
      <c r="M380" s="1">
        <v>3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</row>
    <row r="381" spans="2:19" x14ac:dyDescent="0.35">
      <c r="B381" s="1">
        <v>3431</v>
      </c>
      <c r="C381" s="1" t="s">
        <v>19</v>
      </c>
      <c r="D381" s="1" t="s">
        <v>18</v>
      </c>
      <c r="E381" s="1">
        <v>0</v>
      </c>
      <c r="F381" s="28">
        <v>0</v>
      </c>
      <c r="G381" s="28">
        <v>0</v>
      </c>
      <c r="H381" s="1">
        <v>0</v>
      </c>
      <c r="I381" s="1">
        <v>0</v>
      </c>
      <c r="J381" s="1">
        <v>1</v>
      </c>
      <c r="K381" s="1">
        <v>0</v>
      </c>
      <c r="L381" s="1">
        <v>4</v>
      </c>
      <c r="M381" s="1">
        <v>0</v>
      </c>
      <c r="N381" s="1">
        <v>5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</row>
    <row r="382" spans="2:19" x14ac:dyDescent="0.35">
      <c r="B382" s="1">
        <v>3432</v>
      </c>
      <c r="C382" s="1" t="s">
        <v>22</v>
      </c>
      <c r="D382" s="1" t="s">
        <v>18</v>
      </c>
      <c r="E382" s="1">
        <v>0</v>
      </c>
      <c r="F382" s="28">
        <v>0</v>
      </c>
      <c r="G382" s="28">
        <v>0</v>
      </c>
      <c r="H382" s="1">
        <v>0</v>
      </c>
      <c r="I382" s="1">
        <v>0</v>
      </c>
      <c r="J382" s="1">
        <v>0</v>
      </c>
      <c r="K382" s="1">
        <v>0</v>
      </c>
      <c r="L382" s="1">
        <v>3</v>
      </c>
      <c r="M382" s="1">
        <v>0</v>
      </c>
      <c r="N382" s="1">
        <v>5</v>
      </c>
      <c r="O382" s="1">
        <v>0</v>
      </c>
      <c r="P382" s="1">
        <v>0</v>
      </c>
      <c r="Q382" s="1">
        <v>0</v>
      </c>
      <c r="R382" s="1">
        <v>0</v>
      </c>
      <c r="S382" s="1">
        <v>2</v>
      </c>
    </row>
    <row r="383" spans="2:19" x14ac:dyDescent="0.35">
      <c r="B383" s="1">
        <v>3433</v>
      </c>
      <c r="C383" s="1" t="s">
        <v>19</v>
      </c>
      <c r="D383" s="1" t="s">
        <v>18</v>
      </c>
      <c r="E383" s="1">
        <v>0</v>
      </c>
      <c r="F383" s="28">
        <v>0</v>
      </c>
      <c r="G383" s="28">
        <v>0</v>
      </c>
      <c r="H383" s="1">
        <v>0</v>
      </c>
      <c r="I383" s="1">
        <v>1</v>
      </c>
      <c r="J383" s="1">
        <v>0</v>
      </c>
      <c r="K383" s="1">
        <v>0</v>
      </c>
      <c r="L383" s="1">
        <v>2</v>
      </c>
      <c r="M383" s="1">
        <v>0</v>
      </c>
      <c r="N383" s="1">
        <v>7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</row>
    <row r="384" spans="2:19" x14ac:dyDescent="0.35">
      <c r="B384" s="1">
        <v>3434</v>
      </c>
      <c r="C384" s="1" t="s">
        <v>26</v>
      </c>
      <c r="D384" s="1" t="s">
        <v>18</v>
      </c>
      <c r="E384" s="1">
        <v>0</v>
      </c>
      <c r="F384" s="28">
        <v>0</v>
      </c>
      <c r="G384" s="28">
        <v>2</v>
      </c>
      <c r="H384" s="1">
        <v>0</v>
      </c>
      <c r="I384" s="1">
        <v>0</v>
      </c>
      <c r="J384" s="1">
        <v>0</v>
      </c>
      <c r="K384" s="1">
        <v>0</v>
      </c>
      <c r="L384" s="1">
        <v>2</v>
      </c>
      <c r="M384" s="1">
        <v>0</v>
      </c>
      <c r="N384" s="1">
        <v>6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</row>
    <row r="385" spans="2:19" x14ac:dyDescent="0.35">
      <c r="B385" s="1">
        <v>3435</v>
      </c>
      <c r="C385" s="1" t="s">
        <v>19</v>
      </c>
      <c r="D385" s="1" t="s">
        <v>18</v>
      </c>
      <c r="E385" s="1">
        <v>0</v>
      </c>
      <c r="F385" s="28">
        <v>0</v>
      </c>
      <c r="G385" s="28">
        <v>0</v>
      </c>
      <c r="H385" s="1">
        <v>0</v>
      </c>
      <c r="I385" s="1">
        <v>0</v>
      </c>
      <c r="J385" s="1">
        <v>0</v>
      </c>
      <c r="K385" s="1">
        <v>0</v>
      </c>
      <c r="L385" s="1">
        <v>2</v>
      </c>
      <c r="M385" s="1">
        <v>0</v>
      </c>
      <c r="N385" s="1">
        <v>7</v>
      </c>
      <c r="O385" s="1">
        <v>0</v>
      </c>
      <c r="P385" s="1">
        <v>0</v>
      </c>
      <c r="Q385" s="1">
        <v>0</v>
      </c>
      <c r="R385" s="1">
        <v>0</v>
      </c>
      <c r="S385" s="1">
        <v>1</v>
      </c>
    </row>
    <row r="386" spans="2:19" x14ac:dyDescent="0.35">
      <c r="B386" s="1">
        <v>3436</v>
      </c>
      <c r="C386" s="1" t="s">
        <v>19</v>
      </c>
      <c r="D386" s="1" t="s">
        <v>18</v>
      </c>
      <c r="E386" s="1">
        <v>0</v>
      </c>
      <c r="F386" s="28">
        <v>0</v>
      </c>
      <c r="G386" s="28">
        <v>2</v>
      </c>
      <c r="H386" s="1">
        <v>0</v>
      </c>
      <c r="I386" s="1">
        <v>0</v>
      </c>
      <c r="J386" s="1">
        <v>0</v>
      </c>
      <c r="K386" s="1">
        <v>0</v>
      </c>
      <c r="L386" s="1">
        <v>3</v>
      </c>
      <c r="M386" s="1">
        <v>0</v>
      </c>
      <c r="N386" s="1">
        <v>5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</row>
    <row r="387" spans="2:19" x14ac:dyDescent="0.35">
      <c r="B387" s="1">
        <v>3437</v>
      </c>
      <c r="C387" s="1" t="s">
        <v>19</v>
      </c>
      <c r="D387" s="1" t="s">
        <v>18</v>
      </c>
      <c r="E387" s="1">
        <v>0</v>
      </c>
      <c r="F387" s="28">
        <v>0</v>
      </c>
      <c r="G387" s="28">
        <v>1</v>
      </c>
      <c r="H387" s="1">
        <v>0</v>
      </c>
      <c r="I387" s="1">
        <v>0</v>
      </c>
      <c r="J387" s="1">
        <v>0</v>
      </c>
      <c r="K387" s="1">
        <v>0</v>
      </c>
      <c r="L387" s="1">
        <v>4</v>
      </c>
      <c r="M387" s="1">
        <v>0</v>
      </c>
      <c r="N387" s="1">
        <v>5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</row>
    <row r="388" spans="2:19" x14ac:dyDescent="0.35">
      <c r="B388" s="1">
        <v>3438</v>
      </c>
      <c r="C388" s="1" t="s">
        <v>19</v>
      </c>
      <c r="D388" s="1" t="s">
        <v>18</v>
      </c>
      <c r="E388" s="1">
        <v>0</v>
      </c>
      <c r="F388" s="28">
        <v>0</v>
      </c>
      <c r="G388" s="28">
        <v>0</v>
      </c>
      <c r="H388" s="1">
        <v>0</v>
      </c>
      <c r="I388" s="1">
        <v>0</v>
      </c>
      <c r="J388" s="1">
        <v>0</v>
      </c>
      <c r="K388" s="1">
        <v>0</v>
      </c>
      <c r="L388" s="1">
        <v>1</v>
      </c>
      <c r="M388" s="1">
        <v>0</v>
      </c>
      <c r="N388" s="1">
        <v>8</v>
      </c>
      <c r="O388" s="1">
        <v>0</v>
      </c>
      <c r="P388" s="1">
        <v>0</v>
      </c>
      <c r="Q388" s="1">
        <v>0</v>
      </c>
      <c r="R388" s="1">
        <v>0</v>
      </c>
      <c r="S388" s="1">
        <v>1</v>
      </c>
    </row>
    <row r="389" spans="2:19" x14ac:dyDescent="0.35">
      <c r="B389" s="1">
        <v>3439</v>
      </c>
      <c r="C389" s="1" t="s">
        <v>19</v>
      </c>
      <c r="D389" s="1" t="s">
        <v>20</v>
      </c>
      <c r="E389" s="1">
        <v>0</v>
      </c>
      <c r="F389" s="28">
        <v>0</v>
      </c>
      <c r="G389" s="28">
        <v>0</v>
      </c>
      <c r="H389" s="1">
        <v>0</v>
      </c>
      <c r="I389" s="1">
        <v>1</v>
      </c>
      <c r="J389" s="1">
        <v>0</v>
      </c>
      <c r="K389" s="1">
        <v>0</v>
      </c>
      <c r="L389" s="1">
        <v>4</v>
      </c>
      <c r="M389" s="1">
        <v>0</v>
      </c>
      <c r="N389" s="1">
        <v>5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</row>
    <row r="390" spans="2:19" x14ac:dyDescent="0.35">
      <c r="B390" s="1">
        <v>3440</v>
      </c>
      <c r="C390" s="1" t="s">
        <v>19</v>
      </c>
      <c r="D390" s="1" t="s">
        <v>18</v>
      </c>
      <c r="E390" s="1">
        <v>0</v>
      </c>
      <c r="F390" s="28">
        <v>0</v>
      </c>
      <c r="G390" s="28">
        <v>0</v>
      </c>
      <c r="H390" s="1">
        <v>0</v>
      </c>
      <c r="I390" s="1">
        <v>0</v>
      </c>
      <c r="J390" s="1">
        <v>0</v>
      </c>
      <c r="K390" s="1">
        <v>0</v>
      </c>
      <c r="L390" s="1">
        <v>2</v>
      </c>
      <c r="M390" s="1">
        <v>0</v>
      </c>
      <c r="N390" s="1">
        <v>7</v>
      </c>
      <c r="O390" s="1">
        <v>0</v>
      </c>
      <c r="P390" s="1">
        <v>0</v>
      </c>
      <c r="Q390" s="1">
        <v>0</v>
      </c>
      <c r="R390" s="1">
        <v>0</v>
      </c>
      <c r="S390" s="1">
        <v>1</v>
      </c>
    </row>
    <row r="391" spans="2:19" x14ac:dyDescent="0.35">
      <c r="B391" s="1">
        <v>3441</v>
      </c>
      <c r="C391" s="1" t="s">
        <v>19</v>
      </c>
      <c r="D391" s="1" t="s">
        <v>20</v>
      </c>
      <c r="E391" s="1">
        <v>0</v>
      </c>
      <c r="F391" s="28">
        <v>0</v>
      </c>
      <c r="G391" s="28">
        <v>0</v>
      </c>
      <c r="H391" s="1">
        <v>0</v>
      </c>
      <c r="I391" s="1">
        <v>1</v>
      </c>
      <c r="J391" s="1">
        <v>0</v>
      </c>
      <c r="K391" s="1">
        <v>0</v>
      </c>
      <c r="L391" s="1">
        <v>3</v>
      </c>
      <c r="M391" s="1">
        <v>0</v>
      </c>
      <c r="N391" s="1">
        <v>6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</row>
    <row r="392" spans="2:19" x14ac:dyDescent="0.35">
      <c r="B392" s="1">
        <v>3442</v>
      </c>
      <c r="C392" s="1" t="s">
        <v>26</v>
      </c>
      <c r="D392" s="1" t="s">
        <v>20</v>
      </c>
      <c r="E392" s="1">
        <v>0</v>
      </c>
      <c r="F392" s="28">
        <v>0</v>
      </c>
      <c r="G392" s="28">
        <v>0</v>
      </c>
      <c r="H392" s="1">
        <v>0</v>
      </c>
      <c r="I392" s="1">
        <v>0</v>
      </c>
      <c r="J392" s="1">
        <v>0</v>
      </c>
      <c r="K392" s="1">
        <v>1</v>
      </c>
      <c r="L392" s="1">
        <v>3</v>
      </c>
      <c r="M392" s="1">
        <v>0</v>
      </c>
      <c r="N392" s="1">
        <v>6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</row>
    <row r="393" spans="2:19" x14ac:dyDescent="0.35">
      <c r="B393" s="1">
        <v>3443</v>
      </c>
      <c r="C393" s="1" t="s">
        <v>19</v>
      </c>
      <c r="D393" s="1" t="s">
        <v>18</v>
      </c>
      <c r="E393" s="1">
        <v>0</v>
      </c>
      <c r="F393" s="28">
        <v>0</v>
      </c>
      <c r="G393" s="28">
        <v>0</v>
      </c>
      <c r="H393" s="1">
        <v>0</v>
      </c>
      <c r="I393" s="1">
        <v>0</v>
      </c>
      <c r="J393" s="1">
        <v>0</v>
      </c>
      <c r="K393" s="1">
        <v>0</v>
      </c>
      <c r="L393" s="1">
        <v>4</v>
      </c>
      <c r="M393" s="1">
        <v>0</v>
      </c>
      <c r="N393" s="1">
        <v>5</v>
      </c>
      <c r="O393" s="1">
        <v>0</v>
      </c>
      <c r="P393" s="1">
        <v>0</v>
      </c>
      <c r="Q393" s="1">
        <v>0</v>
      </c>
      <c r="R393" s="1">
        <v>0</v>
      </c>
      <c r="S393" s="1">
        <v>1</v>
      </c>
    </row>
    <row r="394" spans="2:19" x14ac:dyDescent="0.35">
      <c r="B394" s="1">
        <v>3444</v>
      </c>
      <c r="C394" s="1" t="s">
        <v>19</v>
      </c>
      <c r="D394" s="1" t="s">
        <v>18</v>
      </c>
      <c r="E394" s="1">
        <v>0</v>
      </c>
      <c r="F394" s="28">
        <v>0</v>
      </c>
      <c r="G394" s="28">
        <v>0</v>
      </c>
      <c r="H394" s="1">
        <v>0</v>
      </c>
      <c r="I394" s="1">
        <v>0</v>
      </c>
      <c r="J394" s="1">
        <v>0</v>
      </c>
      <c r="K394" s="1">
        <v>0</v>
      </c>
      <c r="L394" s="1">
        <v>1</v>
      </c>
      <c r="M394" s="1">
        <v>0</v>
      </c>
      <c r="N394" s="1">
        <v>8</v>
      </c>
      <c r="O394" s="1">
        <v>0</v>
      </c>
      <c r="P394" s="1">
        <v>1</v>
      </c>
      <c r="Q394" s="1">
        <v>0</v>
      </c>
      <c r="R394" s="1">
        <v>0</v>
      </c>
      <c r="S394" s="1">
        <v>0</v>
      </c>
    </row>
    <row r="395" spans="2:19" x14ac:dyDescent="0.35">
      <c r="B395" s="1">
        <v>3445</v>
      </c>
      <c r="C395" s="1" t="s">
        <v>21</v>
      </c>
      <c r="D395" s="1" t="s">
        <v>20</v>
      </c>
      <c r="E395" s="1">
        <v>0</v>
      </c>
      <c r="F395" s="28">
        <v>0</v>
      </c>
      <c r="G395" s="28">
        <v>0</v>
      </c>
      <c r="H395" s="1">
        <v>0</v>
      </c>
      <c r="I395" s="1">
        <v>0</v>
      </c>
      <c r="J395" s="1">
        <v>1</v>
      </c>
      <c r="K395" s="1">
        <v>0</v>
      </c>
      <c r="L395" s="1">
        <v>4</v>
      </c>
      <c r="M395" s="1">
        <v>0</v>
      </c>
      <c r="N395" s="1">
        <v>5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</row>
    <row r="396" spans="2:19" x14ac:dyDescent="0.35">
      <c r="B396" s="1">
        <v>3446</v>
      </c>
      <c r="C396" s="1" t="s">
        <v>22</v>
      </c>
      <c r="D396" s="1" t="s">
        <v>18</v>
      </c>
      <c r="E396" s="1">
        <v>0</v>
      </c>
      <c r="F396" s="28">
        <v>0</v>
      </c>
      <c r="G396" s="28">
        <v>0</v>
      </c>
      <c r="H396" s="1">
        <v>0</v>
      </c>
      <c r="I396" s="1">
        <v>0</v>
      </c>
      <c r="J396" s="1">
        <v>0</v>
      </c>
      <c r="K396" s="1">
        <v>0</v>
      </c>
      <c r="L396" s="1">
        <v>2</v>
      </c>
      <c r="M396" s="1">
        <v>0</v>
      </c>
      <c r="N396" s="1">
        <v>6</v>
      </c>
      <c r="O396" s="1">
        <v>2</v>
      </c>
      <c r="P396" s="1">
        <v>0</v>
      </c>
      <c r="Q396" s="1">
        <v>0</v>
      </c>
      <c r="R396" s="1">
        <v>0</v>
      </c>
      <c r="S396" s="1">
        <v>0</v>
      </c>
    </row>
    <row r="397" spans="2:19" x14ac:dyDescent="0.35">
      <c r="B397" s="1">
        <v>3447</v>
      </c>
      <c r="C397" s="1" t="s">
        <v>21</v>
      </c>
      <c r="D397" s="1" t="s">
        <v>20</v>
      </c>
      <c r="E397" s="1">
        <v>0</v>
      </c>
      <c r="F397" s="28">
        <v>0</v>
      </c>
      <c r="G397" s="28">
        <v>0</v>
      </c>
      <c r="H397" s="1">
        <v>0</v>
      </c>
      <c r="I397" s="1">
        <v>0</v>
      </c>
      <c r="J397" s="1">
        <v>8</v>
      </c>
      <c r="K397" s="1">
        <v>1</v>
      </c>
      <c r="L397" s="1">
        <v>0</v>
      </c>
      <c r="M397" s="1">
        <v>0</v>
      </c>
      <c r="N397" s="1">
        <v>0</v>
      </c>
      <c r="O397" s="1">
        <v>0</v>
      </c>
      <c r="P397" s="1">
        <v>1</v>
      </c>
      <c r="Q397" s="1">
        <v>0</v>
      </c>
      <c r="R397" s="1">
        <v>0</v>
      </c>
      <c r="S397" s="1">
        <v>0</v>
      </c>
    </row>
    <row r="398" spans="2:19" x14ac:dyDescent="0.35">
      <c r="B398" s="1">
        <v>3448</v>
      </c>
      <c r="C398" s="1" t="s">
        <v>19</v>
      </c>
      <c r="D398" s="1" t="s">
        <v>18</v>
      </c>
      <c r="E398" s="1">
        <v>0</v>
      </c>
      <c r="F398" s="28">
        <v>0</v>
      </c>
      <c r="G398" s="28">
        <v>0</v>
      </c>
      <c r="H398" s="1">
        <v>0</v>
      </c>
      <c r="I398" s="1">
        <v>1</v>
      </c>
      <c r="J398" s="1">
        <v>6</v>
      </c>
      <c r="K398" s="1">
        <v>0</v>
      </c>
      <c r="L398" s="1">
        <v>0</v>
      </c>
      <c r="M398" s="1">
        <v>0</v>
      </c>
      <c r="N398" s="1">
        <v>3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</row>
    <row r="399" spans="2:19" x14ac:dyDescent="0.35">
      <c r="B399" s="1">
        <v>3449</v>
      </c>
      <c r="C399" s="1" t="s">
        <v>19</v>
      </c>
      <c r="D399" s="1" t="s">
        <v>18</v>
      </c>
      <c r="E399" s="1">
        <v>0</v>
      </c>
      <c r="F399" s="28">
        <v>0</v>
      </c>
      <c r="G399" s="28">
        <v>0</v>
      </c>
      <c r="H399" s="1">
        <v>0</v>
      </c>
      <c r="I399" s="1">
        <v>1</v>
      </c>
      <c r="J399" s="1">
        <v>5</v>
      </c>
      <c r="K399" s="1">
        <v>0</v>
      </c>
      <c r="L399" s="1">
        <v>0</v>
      </c>
      <c r="M399" s="1">
        <v>0</v>
      </c>
      <c r="N399" s="1">
        <v>4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</row>
    <row r="400" spans="2:19" x14ac:dyDescent="0.35">
      <c r="B400" s="1">
        <v>3450</v>
      </c>
      <c r="C400" s="1" t="s">
        <v>21</v>
      </c>
      <c r="D400" s="1" t="s">
        <v>18</v>
      </c>
      <c r="E400" s="1">
        <v>0</v>
      </c>
      <c r="F400" s="28">
        <v>0</v>
      </c>
      <c r="G400" s="28">
        <v>0</v>
      </c>
      <c r="H400" s="1">
        <v>0</v>
      </c>
      <c r="I400" s="1">
        <v>0</v>
      </c>
      <c r="J400" s="1">
        <v>6</v>
      </c>
      <c r="K400" s="1">
        <v>0</v>
      </c>
      <c r="L400" s="1">
        <v>0</v>
      </c>
      <c r="M400" s="1">
        <v>0</v>
      </c>
      <c r="N400" s="1">
        <v>2</v>
      </c>
      <c r="O400" s="1">
        <v>0</v>
      </c>
      <c r="P400" s="1">
        <v>0</v>
      </c>
      <c r="Q400" s="1">
        <v>0</v>
      </c>
      <c r="R400" s="1">
        <v>0</v>
      </c>
      <c r="S400" s="1">
        <v>2</v>
      </c>
    </row>
    <row r="401" spans="2:19" x14ac:dyDescent="0.35">
      <c r="B401" s="1">
        <v>3451</v>
      </c>
      <c r="C401" s="1" t="s">
        <v>19</v>
      </c>
      <c r="D401" s="1" t="s">
        <v>20</v>
      </c>
      <c r="E401" s="1">
        <v>0</v>
      </c>
      <c r="F401" s="28">
        <v>0</v>
      </c>
      <c r="G401" s="28">
        <v>0</v>
      </c>
      <c r="H401" s="1">
        <v>0</v>
      </c>
      <c r="I401" s="1">
        <v>0</v>
      </c>
      <c r="J401" s="1">
        <v>8</v>
      </c>
      <c r="K401" s="1">
        <v>0</v>
      </c>
      <c r="L401" s="1">
        <v>0</v>
      </c>
      <c r="M401" s="1">
        <v>0</v>
      </c>
      <c r="N401" s="1">
        <v>1</v>
      </c>
      <c r="O401" s="1">
        <v>1</v>
      </c>
      <c r="P401" s="1">
        <v>0</v>
      </c>
      <c r="Q401" s="1">
        <v>0</v>
      </c>
      <c r="R401" s="1">
        <v>0</v>
      </c>
      <c r="S401" s="1">
        <v>0</v>
      </c>
    </row>
    <row r="402" spans="2:19" x14ac:dyDescent="0.35">
      <c r="B402" s="1">
        <v>3452</v>
      </c>
      <c r="C402" s="1" t="s">
        <v>26</v>
      </c>
      <c r="D402" s="1" t="s">
        <v>18</v>
      </c>
      <c r="E402" s="1">
        <v>0</v>
      </c>
      <c r="F402" s="28">
        <v>0</v>
      </c>
      <c r="G402" s="28">
        <v>0</v>
      </c>
      <c r="H402" s="1">
        <v>0</v>
      </c>
      <c r="I402" s="1">
        <v>1</v>
      </c>
      <c r="J402" s="1">
        <v>7</v>
      </c>
      <c r="K402" s="1">
        <v>0</v>
      </c>
      <c r="L402" s="1">
        <v>0</v>
      </c>
      <c r="M402" s="1">
        <v>0</v>
      </c>
      <c r="N402" s="1">
        <v>2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</row>
    <row r="403" spans="2:19" x14ac:dyDescent="0.35">
      <c r="B403" s="1">
        <v>3453</v>
      </c>
      <c r="C403" s="1" t="s">
        <v>19</v>
      </c>
      <c r="D403" s="1" t="s">
        <v>18</v>
      </c>
      <c r="E403" s="1">
        <v>0</v>
      </c>
      <c r="F403" s="28">
        <v>0</v>
      </c>
      <c r="G403" s="28">
        <v>0</v>
      </c>
      <c r="H403" s="1">
        <v>0</v>
      </c>
      <c r="I403" s="1">
        <v>0</v>
      </c>
      <c r="J403" s="1">
        <v>7</v>
      </c>
      <c r="K403" s="1">
        <v>0</v>
      </c>
      <c r="L403" s="1">
        <v>0</v>
      </c>
      <c r="M403" s="1">
        <v>0</v>
      </c>
      <c r="N403" s="1">
        <v>2</v>
      </c>
      <c r="O403" s="1">
        <v>1</v>
      </c>
      <c r="P403" s="1">
        <v>0</v>
      </c>
      <c r="Q403" s="1">
        <v>0</v>
      </c>
      <c r="R403" s="1">
        <v>0</v>
      </c>
      <c r="S403" s="1">
        <v>0</v>
      </c>
    </row>
    <row r="404" spans="2:19" x14ac:dyDescent="0.35">
      <c r="B404" s="1">
        <v>3454</v>
      </c>
      <c r="C404" s="1" t="s">
        <v>21</v>
      </c>
      <c r="D404" s="1" t="s">
        <v>18</v>
      </c>
      <c r="E404" s="1">
        <v>0</v>
      </c>
      <c r="F404" s="28">
        <v>0</v>
      </c>
      <c r="G404" s="28">
        <v>0</v>
      </c>
      <c r="H404" s="1">
        <v>0</v>
      </c>
      <c r="I404" s="1">
        <v>0</v>
      </c>
      <c r="J404" s="1">
        <v>6</v>
      </c>
      <c r="K404" s="1">
        <v>0</v>
      </c>
      <c r="L404" s="1">
        <v>0</v>
      </c>
      <c r="M404" s="1">
        <v>0</v>
      </c>
      <c r="N404" s="1">
        <v>2</v>
      </c>
      <c r="O404" s="1">
        <v>2</v>
      </c>
      <c r="P404" s="1">
        <v>0</v>
      </c>
      <c r="Q404" s="1">
        <v>0</v>
      </c>
      <c r="R404" s="1">
        <v>0</v>
      </c>
      <c r="S404" s="1">
        <v>0</v>
      </c>
    </row>
    <row r="405" spans="2:19" x14ac:dyDescent="0.35">
      <c r="B405" s="1">
        <v>3455</v>
      </c>
      <c r="C405" s="1" t="s">
        <v>25</v>
      </c>
      <c r="D405" s="1" t="s">
        <v>18</v>
      </c>
      <c r="E405" s="1">
        <v>0</v>
      </c>
      <c r="F405" s="28">
        <v>0</v>
      </c>
      <c r="G405" s="28">
        <v>0</v>
      </c>
      <c r="H405" s="1">
        <v>0</v>
      </c>
      <c r="I405" s="1">
        <v>0</v>
      </c>
      <c r="J405" s="1">
        <v>5</v>
      </c>
      <c r="K405" s="1">
        <v>0</v>
      </c>
      <c r="L405" s="1">
        <v>0</v>
      </c>
      <c r="M405" s="1">
        <v>0</v>
      </c>
      <c r="N405" s="1">
        <v>4</v>
      </c>
      <c r="O405" s="1">
        <v>0</v>
      </c>
      <c r="P405" s="1">
        <v>1</v>
      </c>
      <c r="Q405" s="1">
        <v>0</v>
      </c>
      <c r="R405" s="1">
        <v>0</v>
      </c>
      <c r="S405" s="1">
        <v>0</v>
      </c>
    </row>
    <row r="406" spans="2:19" x14ac:dyDescent="0.35">
      <c r="B406" s="1">
        <v>3456</v>
      </c>
      <c r="C406" s="1" t="s">
        <v>22</v>
      </c>
      <c r="D406" s="1" t="s">
        <v>18</v>
      </c>
      <c r="E406" s="1">
        <v>0</v>
      </c>
      <c r="F406" s="28">
        <v>0</v>
      </c>
      <c r="G406" s="28">
        <v>0</v>
      </c>
      <c r="H406" s="1">
        <v>2</v>
      </c>
      <c r="I406" s="1">
        <v>0</v>
      </c>
      <c r="J406" s="1">
        <v>6</v>
      </c>
      <c r="K406" s="1">
        <v>0</v>
      </c>
      <c r="L406" s="1">
        <v>0</v>
      </c>
      <c r="M406" s="1">
        <v>0</v>
      </c>
      <c r="N406" s="1">
        <v>2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</row>
    <row r="407" spans="2:19" x14ac:dyDescent="0.35">
      <c r="B407" s="1">
        <v>3457</v>
      </c>
      <c r="C407" s="1" t="s">
        <v>19</v>
      </c>
      <c r="D407" s="1" t="s">
        <v>18</v>
      </c>
      <c r="E407" s="1">
        <v>0</v>
      </c>
      <c r="F407" s="28">
        <v>0</v>
      </c>
      <c r="G407" s="28">
        <v>0</v>
      </c>
      <c r="H407" s="1">
        <v>0</v>
      </c>
      <c r="I407" s="1">
        <v>0</v>
      </c>
      <c r="J407" s="1">
        <v>5</v>
      </c>
      <c r="K407" s="1">
        <v>0</v>
      </c>
      <c r="L407" s="1">
        <v>0</v>
      </c>
      <c r="M407" s="1">
        <v>0</v>
      </c>
      <c r="N407" s="1">
        <v>4</v>
      </c>
      <c r="O407" s="1">
        <v>0</v>
      </c>
      <c r="P407" s="1">
        <v>0</v>
      </c>
      <c r="Q407" s="1">
        <v>0</v>
      </c>
      <c r="R407" s="1">
        <v>0</v>
      </c>
      <c r="S407" s="1">
        <v>1</v>
      </c>
    </row>
    <row r="408" spans="2:19" x14ac:dyDescent="0.35">
      <c r="B408" s="1">
        <v>3458</v>
      </c>
      <c r="C408" s="1" t="s">
        <v>19</v>
      </c>
      <c r="D408" s="1" t="s">
        <v>20</v>
      </c>
      <c r="E408" s="1">
        <v>0</v>
      </c>
      <c r="F408" s="28">
        <v>0</v>
      </c>
      <c r="G408" s="28">
        <v>0</v>
      </c>
      <c r="H408" s="1">
        <v>0</v>
      </c>
      <c r="I408" s="1">
        <v>0</v>
      </c>
      <c r="J408" s="1">
        <v>5</v>
      </c>
      <c r="K408" s="1">
        <v>0</v>
      </c>
      <c r="L408" s="1">
        <v>1</v>
      </c>
      <c r="M408" s="1">
        <v>0</v>
      </c>
      <c r="N408" s="1">
        <v>4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</row>
    <row r="409" spans="2:19" x14ac:dyDescent="0.35">
      <c r="B409" s="1">
        <v>3459</v>
      </c>
      <c r="C409" s="1" t="s">
        <v>21</v>
      </c>
      <c r="D409" s="1" t="s">
        <v>18</v>
      </c>
      <c r="E409" s="1">
        <v>0</v>
      </c>
      <c r="F409" s="28">
        <v>0</v>
      </c>
      <c r="G409" s="28">
        <v>0</v>
      </c>
      <c r="H409" s="1">
        <v>1</v>
      </c>
      <c r="I409" s="1">
        <v>0</v>
      </c>
      <c r="J409" s="1">
        <v>6</v>
      </c>
      <c r="K409" s="1">
        <v>0</v>
      </c>
      <c r="L409" s="1">
        <v>0</v>
      </c>
      <c r="M409" s="1">
        <v>0</v>
      </c>
      <c r="N409" s="1">
        <v>3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</row>
    <row r="410" spans="2:19" x14ac:dyDescent="0.35">
      <c r="B410" s="1">
        <v>3460</v>
      </c>
      <c r="C410" s="1" t="s">
        <v>21</v>
      </c>
      <c r="D410" s="1" t="s">
        <v>18</v>
      </c>
      <c r="E410" s="1">
        <v>0</v>
      </c>
      <c r="F410" s="28">
        <v>0</v>
      </c>
      <c r="G410" s="28">
        <v>0</v>
      </c>
      <c r="H410" s="1">
        <v>0</v>
      </c>
      <c r="I410" s="1">
        <v>2</v>
      </c>
      <c r="J410" s="1">
        <v>5</v>
      </c>
      <c r="K410" s="1">
        <v>0</v>
      </c>
      <c r="L410" s="1">
        <v>0</v>
      </c>
      <c r="M410" s="1">
        <v>0</v>
      </c>
      <c r="N410" s="1">
        <v>0</v>
      </c>
      <c r="O410" s="1">
        <v>3</v>
      </c>
      <c r="P410" s="1">
        <v>0</v>
      </c>
      <c r="Q410" s="1">
        <v>0</v>
      </c>
      <c r="R410" s="1">
        <v>0</v>
      </c>
      <c r="S410" s="1">
        <v>0</v>
      </c>
    </row>
    <row r="411" spans="2:19" x14ac:dyDescent="0.35">
      <c r="B411" s="1">
        <v>3461</v>
      </c>
      <c r="C411" s="1" t="s">
        <v>19</v>
      </c>
      <c r="D411" s="1" t="s">
        <v>18</v>
      </c>
      <c r="E411" s="1">
        <v>0</v>
      </c>
      <c r="F411" s="28">
        <v>0</v>
      </c>
      <c r="G411" s="28">
        <v>0</v>
      </c>
      <c r="H411" s="1">
        <v>0</v>
      </c>
      <c r="I411" s="1">
        <v>1</v>
      </c>
      <c r="J411" s="1">
        <v>8</v>
      </c>
      <c r="K411" s="1">
        <v>0</v>
      </c>
      <c r="L411" s="1">
        <v>0</v>
      </c>
      <c r="M411" s="1">
        <v>0</v>
      </c>
      <c r="N411" s="1">
        <v>1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</row>
    <row r="412" spans="2:19" x14ac:dyDescent="0.35">
      <c r="B412" s="1">
        <v>3462</v>
      </c>
      <c r="C412" s="1" t="s">
        <v>23</v>
      </c>
      <c r="D412" s="1" t="s">
        <v>18</v>
      </c>
      <c r="E412" s="1">
        <v>0</v>
      </c>
      <c r="F412" s="28">
        <v>0</v>
      </c>
      <c r="G412" s="28">
        <v>0</v>
      </c>
      <c r="H412" s="1">
        <v>0</v>
      </c>
      <c r="I412" s="1">
        <v>2</v>
      </c>
      <c r="J412" s="1">
        <v>5</v>
      </c>
      <c r="K412" s="1">
        <v>0</v>
      </c>
      <c r="L412" s="1">
        <v>0</v>
      </c>
      <c r="M412" s="1">
        <v>0</v>
      </c>
      <c r="N412" s="1">
        <v>0</v>
      </c>
      <c r="O412" s="1">
        <v>3</v>
      </c>
      <c r="P412" s="1">
        <v>0</v>
      </c>
      <c r="Q412" s="1">
        <v>0</v>
      </c>
      <c r="R412" s="1">
        <v>0</v>
      </c>
      <c r="S412" s="1">
        <v>0</v>
      </c>
    </row>
    <row r="413" spans="2:19" x14ac:dyDescent="0.35">
      <c r="B413" s="1">
        <v>3463</v>
      </c>
      <c r="C413" s="1" t="s">
        <v>26</v>
      </c>
      <c r="D413" s="1" t="s">
        <v>18</v>
      </c>
      <c r="E413" s="1">
        <v>0</v>
      </c>
      <c r="F413" s="28">
        <v>0</v>
      </c>
      <c r="G413" s="28">
        <v>0</v>
      </c>
      <c r="H413" s="1">
        <v>0</v>
      </c>
      <c r="I413" s="1">
        <v>1</v>
      </c>
      <c r="J413" s="1">
        <v>7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2</v>
      </c>
      <c r="Q413" s="1">
        <v>0</v>
      </c>
      <c r="R413" s="1">
        <v>0</v>
      </c>
      <c r="S413" s="1">
        <v>0</v>
      </c>
    </row>
    <row r="414" spans="2:19" x14ac:dyDescent="0.35">
      <c r="B414" s="1">
        <v>3464</v>
      </c>
      <c r="C414" s="1" t="s">
        <v>21</v>
      </c>
      <c r="D414" s="1" t="s">
        <v>18</v>
      </c>
      <c r="E414" s="1">
        <v>0</v>
      </c>
      <c r="F414" s="28">
        <v>0</v>
      </c>
      <c r="G414" s="28">
        <v>0</v>
      </c>
      <c r="H414" s="1">
        <v>0</v>
      </c>
      <c r="I414" s="1">
        <v>0</v>
      </c>
      <c r="J414" s="1">
        <v>5</v>
      </c>
      <c r="K414" s="1">
        <v>0</v>
      </c>
      <c r="L414" s="1">
        <v>0</v>
      </c>
      <c r="M414" s="1">
        <v>0</v>
      </c>
      <c r="N414" s="1">
        <v>4</v>
      </c>
      <c r="O414" s="1">
        <v>1</v>
      </c>
      <c r="P414" s="1">
        <v>0</v>
      </c>
      <c r="Q414" s="1">
        <v>0</v>
      </c>
      <c r="R414" s="1">
        <v>0</v>
      </c>
      <c r="S414" s="1">
        <v>0</v>
      </c>
    </row>
    <row r="415" spans="2:19" x14ac:dyDescent="0.35">
      <c r="B415" s="1">
        <v>3465</v>
      </c>
      <c r="C415" s="1" t="s">
        <v>23</v>
      </c>
      <c r="D415" s="1" t="s">
        <v>18</v>
      </c>
      <c r="E415" s="1">
        <v>0</v>
      </c>
      <c r="F415" s="28">
        <v>0</v>
      </c>
      <c r="G415" s="28">
        <v>0</v>
      </c>
      <c r="H415" s="1">
        <v>0</v>
      </c>
      <c r="I415" s="1">
        <v>0</v>
      </c>
      <c r="J415" s="1">
        <v>7</v>
      </c>
      <c r="K415" s="1">
        <v>0</v>
      </c>
      <c r="L415" s="1">
        <v>0</v>
      </c>
      <c r="M415" s="1">
        <v>1</v>
      </c>
      <c r="N415" s="1">
        <v>2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</row>
    <row r="416" spans="2:19" x14ac:dyDescent="0.35">
      <c r="B416" s="1">
        <v>3466</v>
      </c>
      <c r="C416" s="1" t="s">
        <v>22</v>
      </c>
      <c r="D416" s="1" t="s">
        <v>20</v>
      </c>
      <c r="E416" s="1">
        <v>0</v>
      </c>
      <c r="F416" s="28">
        <v>0</v>
      </c>
      <c r="G416" s="28">
        <v>0</v>
      </c>
      <c r="H416" s="1">
        <v>0</v>
      </c>
      <c r="I416" s="1">
        <v>2</v>
      </c>
      <c r="J416" s="1">
        <v>5</v>
      </c>
      <c r="K416" s="1">
        <v>0</v>
      </c>
      <c r="L416" s="1">
        <v>0</v>
      </c>
      <c r="M416" s="1">
        <v>0</v>
      </c>
      <c r="N416" s="1">
        <v>3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</row>
    <row r="417" spans="2:19" x14ac:dyDescent="0.35">
      <c r="B417" s="1">
        <v>3467</v>
      </c>
      <c r="C417" s="1" t="s">
        <v>19</v>
      </c>
      <c r="D417" s="1" t="s">
        <v>20</v>
      </c>
      <c r="E417" s="1">
        <v>2</v>
      </c>
      <c r="F417" s="28">
        <v>7</v>
      </c>
      <c r="G417" s="28">
        <v>0</v>
      </c>
      <c r="H417" s="1">
        <v>1</v>
      </c>
      <c r="I417" s="1">
        <v>0</v>
      </c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</row>
    <row r="418" spans="2:19" x14ac:dyDescent="0.35">
      <c r="B418" s="1">
        <v>3468</v>
      </c>
      <c r="C418" s="1" t="s">
        <v>17</v>
      </c>
      <c r="D418" s="1" t="s">
        <v>20</v>
      </c>
      <c r="E418" s="1">
        <v>1</v>
      </c>
      <c r="F418" s="28">
        <v>8</v>
      </c>
      <c r="G418" s="28">
        <v>0</v>
      </c>
      <c r="H418" s="1">
        <v>0</v>
      </c>
      <c r="I418" s="1">
        <v>0</v>
      </c>
      <c r="J418" s="1">
        <v>1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</row>
    <row r="419" spans="2:19" x14ac:dyDescent="0.35">
      <c r="B419" s="1">
        <v>3469</v>
      </c>
      <c r="C419" s="1" t="s">
        <v>23</v>
      </c>
      <c r="D419" s="1" t="s">
        <v>20</v>
      </c>
      <c r="E419" s="1">
        <v>1</v>
      </c>
      <c r="F419" s="28">
        <v>8</v>
      </c>
      <c r="G419" s="28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1</v>
      </c>
      <c r="R419" s="1">
        <v>0</v>
      </c>
      <c r="S419" s="1">
        <v>0</v>
      </c>
    </row>
    <row r="420" spans="2:19" x14ac:dyDescent="0.35">
      <c r="B420" s="1">
        <v>3470</v>
      </c>
      <c r="C420" s="1" t="s">
        <v>17</v>
      </c>
      <c r="D420" s="1" t="s">
        <v>20</v>
      </c>
      <c r="E420" s="1">
        <v>1</v>
      </c>
      <c r="F420" s="28">
        <v>8</v>
      </c>
      <c r="G420" s="28">
        <v>1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</row>
    <row r="421" spans="2:19" x14ac:dyDescent="0.35">
      <c r="B421" s="1">
        <v>3471</v>
      </c>
      <c r="C421" s="1" t="s">
        <v>22</v>
      </c>
      <c r="D421" s="1" t="s">
        <v>18</v>
      </c>
      <c r="E421" s="1">
        <v>0</v>
      </c>
      <c r="F421" s="28">
        <v>0</v>
      </c>
      <c r="G421" s="28">
        <v>0</v>
      </c>
      <c r="H421" s="1">
        <v>0</v>
      </c>
      <c r="I421" s="1">
        <v>0</v>
      </c>
      <c r="J421" s="1">
        <v>0</v>
      </c>
      <c r="K421" s="1">
        <v>3</v>
      </c>
      <c r="L421" s="1">
        <v>0</v>
      </c>
      <c r="M421" s="1">
        <v>0</v>
      </c>
      <c r="N421" s="1">
        <v>6</v>
      </c>
      <c r="O421" s="1">
        <v>0</v>
      </c>
      <c r="P421" s="1">
        <v>0</v>
      </c>
      <c r="Q421" s="1">
        <v>0</v>
      </c>
      <c r="R421" s="1">
        <v>0</v>
      </c>
      <c r="S421" s="1">
        <v>1</v>
      </c>
    </row>
    <row r="422" spans="2:19" x14ac:dyDescent="0.35">
      <c r="B422" s="1">
        <v>3472</v>
      </c>
      <c r="C422" s="1" t="s">
        <v>26</v>
      </c>
      <c r="D422" s="1" t="s">
        <v>18</v>
      </c>
      <c r="E422" s="1">
        <v>0</v>
      </c>
      <c r="F422" s="28">
        <v>0</v>
      </c>
      <c r="G422" s="28">
        <v>0</v>
      </c>
      <c r="H422" s="1">
        <v>0</v>
      </c>
      <c r="I422" s="1">
        <v>0</v>
      </c>
      <c r="J422" s="1">
        <v>0</v>
      </c>
      <c r="K422" s="1">
        <v>4</v>
      </c>
      <c r="L422" s="1">
        <v>1</v>
      </c>
      <c r="M422" s="1">
        <v>0</v>
      </c>
      <c r="N422" s="1">
        <v>5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</row>
    <row r="423" spans="2:19" x14ac:dyDescent="0.35">
      <c r="B423" s="1">
        <v>3473</v>
      </c>
      <c r="C423" s="1" t="s">
        <v>17</v>
      </c>
      <c r="D423" s="1" t="s">
        <v>18</v>
      </c>
      <c r="E423" s="1">
        <v>2</v>
      </c>
      <c r="F423" s="28">
        <v>0</v>
      </c>
      <c r="G423" s="28">
        <v>0</v>
      </c>
      <c r="H423" s="1">
        <v>0</v>
      </c>
      <c r="I423" s="1">
        <v>0</v>
      </c>
      <c r="J423" s="1">
        <v>0</v>
      </c>
      <c r="K423" s="1">
        <v>3</v>
      </c>
      <c r="L423" s="1">
        <v>0</v>
      </c>
      <c r="M423" s="1">
        <v>0</v>
      </c>
      <c r="N423" s="1">
        <v>5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</row>
    <row r="424" spans="2:19" x14ac:dyDescent="0.35">
      <c r="B424" s="1">
        <v>3474</v>
      </c>
      <c r="C424" s="1" t="s">
        <v>19</v>
      </c>
      <c r="D424" s="1" t="s">
        <v>20</v>
      </c>
      <c r="E424" s="1">
        <v>2</v>
      </c>
      <c r="F424" s="28">
        <v>7</v>
      </c>
      <c r="G424" s="28">
        <v>0</v>
      </c>
      <c r="H424" s="1">
        <v>1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</row>
    <row r="425" spans="2:19" x14ac:dyDescent="0.35">
      <c r="B425" s="1">
        <v>3475</v>
      </c>
      <c r="C425" s="1" t="s">
        <v>17</v>
      </c>
      <c r="D425" s="1" t="s">
        <v>20</v>
      </c>
      <c r="E425" s="1">
        <v>0</v>
      </c>
      <c r="F425" s="28">
        <v>0</v>
      </c>
      <c r="G425" s="28">
        <v>0</v>
      </c>
      <c r="H425" s="1">
        <v>0</v>
      </c>
      <c r="I425" s="1">
        <v>0</v>
      </c>
      <c r="J425" s="1">
        <v>1</v>
      </c>
      <c r="K425" s="1">
        <v>1</v>
      </c>
      <c r="L425" s="1">
        <v>0</v>
      </c>
      <c r="M425" s="1">
        <v>0</v>
      </c>
      <c r="N425" s="1">
        <v>8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</row>
    <row r="426" spans="2:19" x14ac:dyDescent="0.35">
      <c r="B426" s="1">
        <v>3476</v>
      </c>
      <c r="C426" s="1" t="s">
        <v>19</v>
      </c>
      <c r="D426" s="1" t="s">
        <v>20</v>
      </c>
      <c r="E426" s="1">
        <v>3</v>
      </c>
      <c r="F426" s="28">
        <v>6</v>
      </c>
      <c r="G426" s="28">
        <v>0</v>
      </c>
      <c r="H426" s="1">
        <v>0</v>
      </c>
      <c r="I426" s="1">
        <v>0</v>
      </c>
      <c r="J426" s="1">
        <v>0</v>
      </c>
      <c r="K426" s="1">
        <v>1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</row>
    <row r="427" spans="2:19" x14ac:dyDescent="0.35">
      <c r="B427" s="1">
        <v>3477</v>
      </c>
      <c r="C427" s="1" t="s">
        <v>24</v>
      </c>
      <c r="D427" s="1" t="s">
        <v>20</v>
      </c>
      <c r="E427" s="1">
        <v>0</v>
      </c>
      <c r="F427" s="28">
        <v>0</v>
      </c>
      <c r="G427" s="28">
        <v>0</v>
      </c>
      <c r="H427" s="1">
        <v>0</v>
      </c>
      <c r="I427" s="1">
        <v>0</v>
      </c>
      <c r="J427" s="1">
        <v>0</v>
      </c>
      <c r="K427" s="1">
        <v>4</v>
      </c>
      <c r="L427" s="1">
        <v>0</v>
      </c>
      <c r="M427" s="1">
        <v>0</v>
      </c>
      <c r="N427" s="1">
        <v>5</v>
      </c>
      <c r="O427" s="1">
        <v>0</v>
      </c>
      <c r="P427" s="1">
        <v>0</v>
      </c>
      <c r="Q427" s="1">
        <v>0</v>
      </c>
      <c r="R427" s="1">
        <v>0</v>
      </c>
      <c r="S427" s="1">
        <v>1</v>
      </c>
    </row>
    <row r="428" spans="2:19" x14ac:dyDescent="0.35">
      <c r="B428" s="1">
        <v>3478</v>
      </c>
      <c r="C428" s="1" t="s">
        <v>19</v>
      </c>
      <c r="D428" s="1" t="s">
        <v>20</v>
      </c>
      <c r="E428" s="1">
        <v>1</v>
      </c>
      <c r="F428" s="28">
        <v>8</v>
      </c>
      <c r="G428" s="28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1</v>
      </c>
      <c r="R428" s="1">
        <v>0</v>
      </c>
      <c r="S428" s="1">
        <v>0</v>
      </c>
    </row>
    <row r="429" spans="2:19" x14ac:dyDescent="0.35">
      <c r="B429" s="1">
        <v>3479</v>
      </c>
      <c r="C429" s="1" t="s">
        <v>17</v>
      </c>
      <c r="D429" s="1" t="s">
        <v>18</v>
      </c>
      <c r="E429" s="1">
        <v>0</v>
      </c>
      <c r="F429" s="28">
        <v>6</v>
      </c>
      <c r="G429" s="28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3</v>
      </c>
      <c r="O429" s="1">
        <v>0</v>
      </c>
      <c r="P429" s="1">
        <v>1</v>
      </c>
      <c r="Q429" s="1">
        <v>0</v>
      </c>
      <c r="R429" s="1">
        <v>0</v>
      </c>
      <c r="S429" s="1">
        <v>0</v>
      </c>
    </row>
    <row r="430" spans="2:19" x14ac:dyDescent="0.35">
      <c r="B430" s="1">
        <v>3480</v>
      </c>
      <c r="C430" s="1" t="s">
        <v>19</v>
      </c>
      <c r="D430" s="1" t="s">
        <v>20</v>
      </c>
      <c r="E430" s="1">
        <v>1</v>
      </c>
      <c r="F430" s="28">
        <v>0</v>
      </c>
      <c r="G430" s="28">
        <v>0</v>
      </c>
      <c r="H430" s="1">
        <v>1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8</v>
      </c>
      <c r="S430" s="1">
        <v>0</v>
      </c>
    </row>
    <row r="431" spans="2:19" x14ac:dyDescent="0.35">
      <c r="B431" s="1">
        <v>3481</v>
      </c>
      <c r="C431" s="1" t="s">
        <v>26</v>
      </c>
      <c r="D431" s="1" t="s">
        <v>18</v>
      </c>
      <c r="E431" s="1">
        <v>0</v>
      </c>
      <c r="F431" s="28">
        <v>7</v>
      </c>
      <c r="G431" s="28">
        <v>0</v>
      </c>
      <c r="H431" s="1">
        <v>0</v>
      </c>
      <c r="I431" s="1">
        <v>0</v>
      </c>
      <c r="J431" s="1">
        <v>0</v>
      </c>
      <c r="K431" s="1">
        <v>0</v>
      </c>
      <c r="L431" s="1">
        <v>1</v>
      </c>
      <c r="M431" s="1">
        <v>0</v>
      </c>
      <c r="N431" s="1">
        <v>2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</row>
    <row r="432" spans="2:19" x14ac:dyDescent="0.35">
      <c r="B432" s="1">
        <v>3482</v>
      </c>
      <c r="C432" s="1" t="s">
        <v>19</v>
      </c>
      <c r="D432" s="1" t="s">
        <v>20</v>
      </c>
      <c r="E432" s="1">
        <v>1</v>
      </c>
      <c r="F432" s="28">
        <v>8</v>
      </c>
      <c r="G432" s="28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1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</row>
    <row r="433" spans="2:19" x14ac:dyDescent="0.35">
      <c r="B433" s="1">
        <v>3483</v>
      </c>
      <c r="C433" s="1" t="s">
        <v>19</v>
      </c>
      <c r="D433" s="1" t="s">
        <v>20</v>
      </c>
      <c r="E433" s="1">
        <v>0</v>
      </c>
      <c r="F433" s="28">
        <v>0</v>
      </c>
      <c r="G433" s="28">
        <v>0</v>
      </c>
      <c r="H433" s="1">
        <v>0</v>
      </c>
      <c r="I433" s="1">
        <v>0</v>
      </c>
      <c r="J433" s="1">
        <v>0</v>
      </c>
      <c r="K433" s="1">
        <v>1</v>
      </c>
      <c r="L433" s="1">
        <v>0</v>
      </c>
      <c r="M433" s="1">
        <v>0</v>
      </c>
      <c r="N433" s="1">
        <v>8</v>
      </c>
      <c r="O433" s="1">
        <v>0</v>
      </c>
      <c r="P433" s="1">
        <v>1</v>
      </c>
      <c r="Q433" s="1">
        <v>0</v>
      </c>
      <c r="R433" s="1">
        <v>0</v>
      </c>
      <c r="S433" s="1">
        <v>0</v>
      </c>
    </row>
    <row r="434" spans="2:19" x14ac:dyDescent="0.35">
      <c r="B434" s="1">
        <v>3484</v>
      </c>
      <c r="C434" s="1" t="s">
        <v>26</v>
      </c>
      <c r="D434" s="1" t="s">
        <v>18</v>
      </c>
      <c r="E434" s="1">
        <v>0</v>
      </c>
      <c r="F434" s="28">
        <v>0</v>
      </c>
      <c r="G434" s="28">
        <v>0</v>
      </c>
      <c r="H434" s="1">
        <v>0</v>
      </c>
      <c r="I434" s="1">
        <v>0</v>
      </c>
      <c r="J434" s="1">
        <v>4</v>
      </c>
      <c r="K434" s="1">
        <v>0</v>
      </c>
      <c r="L434" s="1">
        <v>0</v>
      </c>
      <c r="M434" s="1">
        <v>0</v>
      </c>
      <c r="N434" s="1">
        <v>6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</row>
    <row r="435" spans="2:19" x14ac:dyDescent="0.35">
      <c r="B435" s="1">
        <v>3485</v>
      </c>
      <c r="C435" s="1" t="s">
        <v>19</v>
      </c>
      <c r="D435" s="1" t="s">
        <v>20</v>
      </c>
      <c r="E435" s="1">
        <v>1</v>
      </c>
      <c r="F435" s="28">
        <v>8</v>
      </c>
      <c r="G435" s="28">
        <v>0</v>
      </c>
      <c r="H435" s="1">
        <v>0</v>
      </c>
      <c r="I435" s="1">
        <v>0</v>
      </c>
      <c r="J435" s="1">
        <v>0</v>
      </c>
      <c r="K435" s="1">
        <v>1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</row>
    <row r="436" spans="2:19" x14ac:dyDescent="0.35">
      <c r="B436" s="1">
        <v>3486</v>
      </c>
      <c r="C436" s="1" t="s">
        <v>19</v>
      </c>
      <c r="D436" s="1" t="s">
        <v>18</v>
      </c>
      <c r="E436" s="1">
        <v>0</v>
      </c>
      <c r="F436" s="28">
        <v>0</v>
      </c>
      <c r="G436" s="28">
        <v>0</v>
      </c>
      <c r="H436" s="1">
        <v>0</v>
      </c>
      <c r="I436" s="1">
        <v>0</v>
      </c>
      <c r="J436" s="1">
        <v>3</v>
      </c>
      <c r="K436" s="1">
        <v>0</v>
      </c>
      <c r="L436" s="1">
        <v>0</v>
      </c>
      <c r="M436" s="1">
        <v>0</v>
      </c>
      <c r="N436" s="1">
        <v>5</v>
      </c>
      <c r="O436" s="1">
        <v>2</v>
      </c>
      <c r="P436" s="1">
        <v>0</v>
      </c>
      <c r="Q436" s="1">
        <v>0</v>
      </c>
      <c r="R436" s="1">
        <v>0</v>
      </c>
      <c r="S436" s="1">
        <v>0</v>
      </c>
    </row>
    <row r="437" spans="2:19" x14ac:dyDescent="0.35">
      <c r="B437" s="1">
        <v>3487</v>
      </c>
      <c r="C437" s="1" t="s">
        <v>19</v>
      </c>
      <c r="D437" s="1" t="s">
        <v>18</v>
      </c>
      <c r="E437" s="1">
        <v>0</v>
      </c>
      <c r="F437" s="28">
        <v>0</v>
      </c>
      <c r="G437" s="28">
        <v>0</v>
      </c>
      <c r="H437" s="1">
        <v>0</v>
      </c>
      <c r="I437" s="1">
        <v>0</v>
      </c>
      <c r="J437" s="1">
        <v>0</v>
      </c>
      <c r="K437" s="1">
        <v>2</v>
      </c>
      <c r="L437" s="1">
        <v>0</v>
      </c>
      <c r="M437" s="1">
        <v>0</v>
      </c>
      <c r="N437" s="1">
        <v>7</v>
      </c>
      <c r="O437" s="1">
        <v>1</v>
      </c>
      <c r="P437" s="1">
        <v>0</v>
      </c>
      <c r="Q437" s="1">
        <v>0</v>
      </c>
      <c r="R437" s="1">
        <v>0</v>
      </c>
      <c r="S437" s="1">
        <v>0</v>
      </c>
    </row>
    <row r="438" spans="2:19" x14ac:dyDescent="0.35">
      <c r="B438" s="1">
        <v>3488</v>
      </c>
      <c r="C438" s="1" t="s">
        <v>27</v>
      </c>
      <c r="D438" s="1" t="s">
        <v>18</v>
      </c>
      <c r="E438" s="1">
        <v>0</v>
      </c>
      <c r="F438" s="28">
        <v>0</v>
      </c>
      <c r="G438" s="28">
        <v>0</v>
      </c>
      <c r="H438" s="1">
        <v>0</v>
      </c>
      <c r="I438" s="1">
        <v>0</v>
      </c>
      <c r="J438" s="1">
        <v>0</v>
      </c>
      <c r="K438" s="1">
        <v>1</v>
      </c>
      <c r="L438" s="1">
        <v>0</v>
      </c>
      <c r="M438" s="1">
        <v>0</v>
      </c>
      <c r="N438" s="1">
        <v>8</v>
      </c>
      <c r="O438" s="1">
        <v>0</v>
      </c>
      <c r="P438" s="1">
        <v>0</v>
      </c>
      <c r="Q438" s="1">
        <v>0</v>
      </c>
      <c r="R438" s="1">
        <v>1</v>
      </c>
      <c r="S438" s="1">
        <v>0</v>
      </c>
    </row>
    <row r="439" spans="2:19" x14ac:dyDescent="0.35">
      <c r="B439" s="1">
        <v>3489</v>
      </c>
      <c r="C439" s="1" t="s">
        <v>22</v>
      </c>
      <c r="D439" s="1" t="s">
        <v>20</v>
      </c>
      <c r="E439" s="1">
        <v>1</v>
      </c>
      <c r="F439" s="28">
        <v>8</v>
      </c>
      <c r="G439" s="28">
        <v>0</v>
      </c>
      <c r="H439" s="1">
        <v>1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</row>
    <row r="440" spans="2:19" x14ac:dyDescent="0.35">
      <c r="B440" s="1">
        <v>3490</v>
      </c>
      <c r="C440" s="1" t="s">
        <v>19</v>
      </c>
      <c r="D440" s="1" t="s">
        <v>20</v>
      </c>
      <c r="E440" s="1">
        <v>0</v>
      </c>
      <c r="F440" s="28">
        <v>0</v>
      </c>
      <c r="G440" s="28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8</v>
      </c>
      <c r="O440" s="1">
        <v>0</v>
      </c>
      <c r="P440" s="1">
        <v>1</v>
      </c>
      <c r="Q440" s="1">
        <v>0</v>
      </c>
      <c r="R440" s="1">
        <v>1</v>
      </c>
      <c r="S440" s="1">
        <v>0</v>
      </c>
    </row>
    <row r="441" spans="2:19" x14ac:dyDescent="0.35">
      <c r="B441" s="1">
        <v>3491</v>
      </c>
      <c r="C441" s="1" t="s">
        <v>26</v>
      </c>
      <c r="D441" s="1" t="s">
        <v>18</v>
      </c>
      <c r="E441" s="1">
        <v>0</v>
      </c>
      <c r="F441" s="28">
        <v>0</v>
      </c>
      <c r="G441" s="28">
        <v>0</v>
      </c>
      <c r="H441" s="1">
        <v>0</v>
      </c>
      <c r="I441" s="1">
        <v>0</v>
      </c>
      <c r="J441" s="1">
        <v>0</v>
      </c>
      <c r="K441" s="1">
        <v>0</v>
      </c>
      <c r="L441" s="1">
        <v>2</v>
      </c>
      <c r="M441" s="1">
        <v>0</v>
      </c>
      <c r="N441" s="1">
        <v>5</v>
      </c>
      <c r="O441" s="1">
        <v>3</v>
      </c>
      <c r="P441" s="1">
        <v>0</v>
      </c>
      <c r="Q441" s="1">
        <v>0</v>
      </c>
      <c r="R441" s="1">
        <v>0</v>
      </c>
      <c r="S441" s="1">
        <v>0</v>
      </c>
    </row>
    <row r="442" spans="2:19" x14ac:dyDescent="0.35">
      <c r="B442" s="1">
        <v>3492</v>
      </c>
      <c r="C442" s="1" t="s">
        <v>24</v>
      </c>
      <c r="D442" s="1" t="s">
        <v>20</v>
      </c>
      <c r="E442" s="1">
        <v>1</v>
      </c>
      <c r="F442" s="28">
        <v>8</v>
      </c>
      <c r="G442" s="28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</row>
    <row r="443" spans="2:19" x14ac:dyDescent="0.35">
      <c r="B443" s="1">
        <v>3493</v>
      </c>
      <c r="C443" s="1" t="s">
        <v>19</v>
      </c>
      <c r="D443" s="1" t="s">
        <v>18</v>
      </c>
      <c r="E443" s="1">
        <v>0</v>
      </c>
      <c r="F443" s="28">
        <v>1</v>
      </c>
      <c r="G443" s="28">
        <v>0</v>
      </c>
      <c r="H443" s="1">
        <v>0</v>
      </c>
      <c r="I443" s="1">
        <v>0</v>
      </c>
      <c r="J443" s="1">
        <v>0</v>
      </c>
      <c r="K443" s="1">
        <v>0</v>
      </c>
      <c r="L443" s="1">
        <v>1</v>
      </c>
      <c r="M443" s="1">
        <v>0</v>
      </c>
      <c r="N443" s="1">
        <v>8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</row>
    <row r="444" spans="2:19" x14ac:dyDescent="0.35">
      <c r="B444" s="1">
        <v>3494</v>
      </c>
      <c r="C444" s="1" t="s">
        <v>17</v>
      </c>
      <c r="D444" s="1" t="s">
        <v>20</v>
      </c>
      <c r="E444" s="1">
        <v>4</v>
      </c>
      <c r="F444" s="28">
        <v>5</v>
      </c>
      <c r="G444" s="28">
        <v>0</v>
      </c>
      <c r="H444" s="1">
        <v>1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</row>
    <row r="445" spans="2:19" x14ac:dyDescent="0.35">
      <c r="B445" s="1">
        <v>3495</v>
      </c>
      <c r="C445" s="1" t="s">
        <v>22</v>
      </c>
      <c r="D445" s="1" t="s">
        <v>18</v>
      </c>
      <c r="E445" s="1">
        <v>1</v>
      </c>
      <c r="F445" s="28">
        <v>8</v>
      </c>
      <c r="G445" s="28">
        <v>1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</row>
    <row r="446" spans="2:19" x14ac:dyDescent="0.35">
      <c r="B446" s="1">
        <v>3496</v>
      </c>
      <c r="C446" s="1" t="s">
        <v>26</v>
      </c>
      <c r="D446" s="1" t="s">
        <v>18</v>
      </c>
      <c r="E446" s="1">
        <v>3</v>
      </c>
      <c r="F446" s="28">
        <v>6</v>
      </c>
      <c r="G446" s="28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1</v>
      </c>
      <c r="R446" s="1">
        <v>0</v>
      </c>
      <c r="S446" s="1">
        <v>0</v>
      </c>
    </row>
    <row r="447" spans="2:19" x14ac:dyDescent="0.35">
      <c r="B447" s="1">
        <v>3497</v>
      </c>
      <c r="C447" s="1" t="s">
        <v>17</v>
      </c>
      <c r="D447" s="1" t="s">
        <v>20</v>
      </c>
      <c r="E447" s="1">
        <v>3</v>
      </c>
      <c r="F447" s="28">
        <v>5</v>
      </c>
      <c r="G447" s="28">
        <v>0</v>
      </c>
      <c r="H447" s="1">
        <v>2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</row>
    <row r="448" spans="2:19" x14ac:dyDescent="0.35">
      <c r="B448" s="1">
        <v>3498</v>
      </c>
      <c r="C448" s="1" t="s">
        <v>19</v>
      </c>
      <c r="D448" s="1" t="s">
        <v>18</v>
      </c>
      <c r="E448" s="1">
        <v>0</v>
      </c>
      <c r="F448" s="28">
        <v>0</v>
      </c>
      <c r="G448" s="28">
        <v>0</v>
      </c>
      <c r="H448" s="1">
        <v>0</v>
      </c>
      <c r="I448" s="1">
        <v>0</v>
      </c>
      <c r="J448" s="1">
        <v>0</v>
      </c>
      <c r="K448" s="1">
        <v>2</v>
      </c>
      <c r="L448" s="1">
        <v>0</v>
      </c>
      <c r="M448" s="1">
        <v>0</v>
      </c>
      <c r="N448" s="1">
        <v>7</v>
      </c>
      <c r="O448" s="1">
        <v>1</v>
      </c>
      <c r="P448" s="1">
        <v>0</v>
      </c>
      <c r="Q448" s="1">
        <v>0</v>
      </c>
      <c r="R448" s="1">
        <v>0</v>
      </c>
      <c r="S448" s="1">
        <v>0</v>
      </c>
    </row>
    <row r="449" spans="2:19" x14ac:dyDescent="0.35">
      <c r="B449" s="1">
        <v>3499</v>
      </c>
      <c r="C449" s="1" t="s">
        <v>17</v>
      </c>
      <c r="D449" s="1" t="s">
        <v>18</v>
      </c>
      <c r="E449" s="1">
        <v>0</v>
      </c>
      <c r="F449" s="28">
        <v>0</v>
      </c>
      <c r="G449" s="28">
        <v>0</v>
      </c>
      <c r="H449" s="1">
        <v>0</v>
      </c>
      <c r="I449" s="1">
        <v>0</v>
      </c>
      <c r="J449" s="1">
        <v>2</v>
      </c>
      <c r="K449" s="1">
        <v>0</v>
      </c>
      <c r="L449" s="1">
        <v>0</v>
      </c>
      <c r="M449" s="1">
        <v>0</v>
      </c>
      <c r="N449" s="1">
        <v>6</v>
      </c>
      <c r="O449" s="1">
        <v>0</v>
      </c>
      <c r="P449" s="1">
        <v>2</v>
      </c>
      <c r="Q449" s="1">
        <v>0</v>
      </c>
      <c r="R449" s="1">
        <v>0</v>
      </c>
      <c r="S449" s="1">
        <v>0</v>
      </c>
    </row>
    <row r="450" spans="2:19" x14ac:dyDescent="0.35">
      <c r="B450" s="1">
        <v>3500</v>
      </c>
      <c r="C450" s="1" t="s">
        <v>17</v>
      </c>
      <c r="D450" s="1" t="s">
        <v>20</v>
      </c>
      <c r="E450" s="1">
        <v>4</v>
      </c>
      <c r="F450" s="28">
        <v>5</v>
      </c>
      <c r="G450" s="28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1</v>
      </c>
      <c r="R450" s="1">
        <v>0</v>
      </c>
      <c r="S450" s="1">
        <v>0</v>
      </c>
    </row>
    <row r="451" spans="2:19" x14ac:dyDescent="0.35">
      <c r="B451" s="1">
        <v>3501</v>
      </c>
      <c r="C451" s="1" t="s">
        <v>17</v>
      </c>
      <c r="D451" s="1" t="s">
        <v>18</v>
      </c>
      <c r="E451" s="1">
        <v>2</v>
      </c>
      <c r="F451" s="28">
        <v>7</v>
      </c>
      <c r="G451" s="28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1</v>
      </c>
      <c r="R451" s="1">
        <v>0</v>
      </c>
      <c r="S451" s="1">
        <v>0</v>
      </c>
    </row>
    <row r="452" spans="2:19" x14ac:dyDescent="0.35">
      <c r="B452" s="1">
        <v>3502</v>
      </c>
      <c r="C452" s="1" t="s">
        <v>19</v>
      </c>
      <c r="D452" s="1" t="s">
        <v>20</v>
      </c>
      <c r="E452" s="1">
        <v>0</v>
      </c>
      <c r="F452" s="28">
        <v>0</v>
      </c>
      <c r="G452" s="28">
        <v>0</v>
      </c>
      <c r="H452" s="1">
        <v>0</v>
      </c>
      <c r="I452" s="1">
        <v>0</v>
      </c>
      <c r="J452" s="1">
        <v>0</v>
      </c>
      <c r="K452" s="1">
        <v>1</v>
      </c>
      <c r="L452" s="1">
        <v>0</v>
      </c>
      <c r="M452" s="1">
        <v>0</v>
      </c>
      <c r="N452" s="1">
        <v>8</v>
      </c>
      <c r="O452" s="1">
        <v>0</v>
      </c>
      <c r="P452" s="1">
        <v>0</v>
      </c>
      <c r="Q452" s="1">
        <v>0</v>
      </c>
      <c r="R452" s="1">
        <v>0</v>
      </c>
      <c r="S452" s="1">
        <v>1</v>
      </c>
    </row>
    <row r="453" spans="2:19" x14ac:dyDescent="0.35">
      <c r="B453" s="1">
        <v>3503</v>
      </c>
      <c r="C453" s="1" t="s">
        <v>17</v>
      </c>
      <c r="D453" s="1" t="s">
        <v>20</v>
      </c>
      <c r="E453" s="1">
        <v>0</v>
      </c>
      <c r="F453" s="28">
        <v>0</v>
      </c>
      <c r="G453" s="28">
        <v>3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2</v>
      </c>
      <c r="Q453" s="1">
        <v>0</v>
      </c>
      <c r="R453" s="1">
        <v>0</v>
      </c>
      <c r="S453" s="1">
        <v>5</v>
      </c>
    </row>
    <row r="454" spans="2:19" x14ac:dyDescent="0.35">
      <c r="B454" s="1">
        <v>3504</v>
      </c>
      <c r="C454" s="1" t="s">
        <v>23</v>
      </c>
      <c r="D454" s="1" t="s">
        <v>20</v>
      </c>
      <c r="E454" s="1">
        <v>0</v>
      </c>
      <c r="F454" s="28">
        <v>0</v>
      </c>
      <c r="G454" s="28">
        <v>1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2</v>
      </c>
      <c r="Q454" s="1">
        <v>0</v>
      </c>
      <c r="R454" s="1">
        <v>0</v>
      </c>
      <c r="S454" s="1">
        <v>7</v>
      </c>
    </row>
    <row r="455" spans="2:19" x14ac:dyDescent="0.35">
      <c r="B455" s="1">
        <v>3505</v>
      </c>
      <c r="C455" s="1" t="s">
        <v>19</v>
      </c>
      <c r="D455" s="1" t="s">
        <v>18</v>
      </c>
      <c r="E455" s="1">
        <v>0</v>
      </c>
      <c r="F455" s="28">
        <v>0</v>
      </c>
      <c r="G455" s="28">
        <v>0</v>
      </c>
      <c r="H455" s="1">
        <v>0</v>
      </c>
      <c r="I455" s="1">
        <v>0</v>
      </c>
      <c r="J455" s="1">
        <v>1</v>
      </c>
      <c r="K455" s="1">
        <v>0</v>
      </c>
      <c r="L455" s="1">
        <v>1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8</v>
      </c>
    </row>
    <row r="456" spans="2:19" x14ac:dyDescent="0.35">
      <c r="B456" s="1">
        <v>3506</v>
      </c>
      <c r="C456" s="1" t="s">
        <v>17</v>
      </c>
      <c r="D456" s="1" t="s">
        <v>18</v>
      </c>
      <c r="E456" s="1">
        <v>0</v>
      </c>
      <c r="F456" s="28">
        <v>0</v>
      </c>
      <c r="G456" s="28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10</v>
      </c>
    </row>
    <row r="457" spans="2:19" x14ac:dyDescent="0.35">
      <c r="B457" s="1">
        <v>3507</v>
      </c>
      <c r="C457" s="1" t="s">
        <v>23</v>
      </c>
      <c r="D457" s="1" t="s">
        <v>18</v>
      </c>
      <c r="E457" s="1">
        <v>0</v>
      </c>
      <c r="F457" s="28">
        <v>0</v>
      </c>
      <c r="G457" s="28">
        <v>0</v>
      </c>
      <c r="H457" s="1">
        <v>0</v>
      </c>
      <c r="I457" s="1">
        <v>0</v>
      </c>
      <c r="J457" s="1">
        <v>0</v>
      </c>
      <c r="K457" s="1">
        <v>0</v>
      </c>
      <c r="L457" s="1">
        <v>3</v>
      </c>
      <c r="M457" s="1">
        <v>0</v>
      </c>
      <c r="N457" s="1">
        <v>1</v>
      </c>
      <c r="O457" s="1">
        <v>0</v>
      </c>
      <c r="P457" s="1">
        <v>0</v>
      </c>
      <c r="Q457" s="1">
        <v>0</v>
      </c>
      <c r="R457" s="1">
        <v>0</v>
      </c>
      <c r="S457" s="1">
        <v>6</v>
      </c>
    </row>
    <row r="458" spans="2:19" x14ac:dyDescent="0.35">
      <c r="B458" s="1">
        <v>3508</v>
      </c>
      <c r="C458" s="1" t="s">
        <v>23</v>
      </c>
      <c r="D458" s="1" t="s">
        <v>20</v>
      </c>
      <c r="E458" s="1">
        <v>0</v>
      </c>
      <c r="F458" s="28">
        <v>0</v>
      </c>
      <c r="G458" s="28">
        <v>0</v>
      </c>
      <c r="H458" s="1">
        <v>2</v>
      </c>
      <c r="I458" s="1">
        <v>0</v>
      </c>
      <c r="J458" s="1">
        <v>3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5</v>
      </c>
    </row>
    <row r="459" spans="2:19" x14ac:dyDescent="0.35">
      <c r="B459" s="1">
        <v>3509</v>
      </c>
      <c r="C459" s="1" t="s">
        <v>26</v>
      </c>
      <c r="D459" s="1" t="s">
        <v>18</v>
      </c>
      <c r="E459" s="1">
        <v>0</v>
      </c>
      <c r="F459" s="28">
        <v>0</v>
      </c>
      <c r="G459" s="28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10</v>
      </c>
    </row>
    <row r="460" spans="2:19" x14ac:dyDescent="0.35">
      <c r="B460" s="1">
        <v>3510</v>
      </c>
      <c r="C460" s="1" t="s">
        <v>17</v>
      </c>
      <c r="D460" s="1" t="s">
        <v>20</v>
      </c>
      <c r="E460" s="1">
        <v>0</v>
      </c>
      <c r="F460" s="28">
        <v>0</v>
      </c>
      <c r="G460" s="28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10</v>
      </c>
    </row>
    <row r="461" spans="2:19" x14ac:dyDescent="0.35">
      <c r="B461" s="1">
        <v>3511</v>
      </c>
      <c r="C461" s="1" t="s">
        <v>17</v>
      </c>
      <c r="D461" s="1" t="s">
        <v>20</v>
      </c>
      <c r="E461" s="1">
        <v>0</v>
      </c>
      <c r="F461" s="28">
        <v>0</v>
      </c>
      <c r="G461" s="28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10</v>
      </c>
    </row>
    <row r="462" spans="2:19" x14ac:dyDescent="0.35">
      <c r="B462" s="1">
        <v>3512</v>
      </c>
      <c r="C462" s="1" t="s">
        <v>21</v>
      </c>
      <c r="D462" s="1" t="s">
        <v>18</v>
      </c>
      <c r="E462" s="1">
        <v>1</v>
      </c>
      <c r="F462" s="28">
        <v>1</v>
      </c>
      <c r="G462" s="28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8</v>
      </c>
    </row>
    <row r="463" spans="2:19" x14ac:dyDescent="0.35">
      <c r="B463" s="1">
        <v>3513</v>
      </c>
      <c r="C463" s="1" t="s">
        <v>23</v>
      </c>
      <c r="D463" s="1" t="s">
        <v>20</v>
      </c>
      <c r="E463" s="1">
        <v>0</v>
      </c>
      <c r="F463" s="28">
        <v>0</v>
      </c>
      <c r="G463" s="28">
        <v>0</v>
      </c>
      <c r="H463" s="1">
        <v>0</v>
      </c>
      <c r="I463" s="1">
        <v>0</v>
      </c>
      <c r="J463" s="1">
        <v>3</v>
      </c>
      <c r="K463" s="1">
        <v>0</v>
      </c>
      <c r="L463" s="1">
        <v>0</v>
      </c>
      <c r="M463" s="1">
        <v>0</v>
      </c>
      <c r="N463" s="1">
        <v>0</v>
      </c>
      <c r="O463" s="1">
        <v>1</v>
      </c>
      <c r="P463" s="1">
        <v>0</v>
      </c>
      <c r="Q463" s="1">
        <v>0</v>
      </c>
      <c r="R463" s="1">
        <v>0</v>
      </c>
      <c r="S463" s="1">
        <v>6</v>
      </c>
    </row>
    <row r="464" spans="2:19" x14ac:dyDescent="0.35">
      <c r="B464" s="1">
        <v>3514</v>
      </c>
      <c r="C464" s="1" t="s">
        <v>17</v>
      </c>
      <c r="D464" s="1" t="s">
        <v>18</v>
      </c>
      <c r="E464" s="1">
        <v>0</v>
      </c>
      <c r="F464" s="28">
        <v>0</v>
      </c>
      <c r="G464" s="28">
        <v>0</v>
      </c>
      <c r="H464" s="1">
        <v>1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2</v>
      </c>
      <c r="P464" s="1">
        <v>0</v>
      </c>
      <c r="Q464" s="1">
        <v>0</v>
      </c>
      <c r="R464" s="1">
        <v>0</v>
      </c>
      <c r="S464" s="1">
        <v>7</v>
      </c>
    </row>
    <row r="465" spans="2:19" x14ac:dyDescent="0.35">
      <c r="B465" s="1">
        <v>3515</v>
      </c>
      <c r="C465" s="1" t="s">
        <v>21</v>
      </c>
      <c r="D465" s="1" t="s">
        <v>20</v>
      </c>
      <c r="E465" s="1">
        <v>0</v>
      </c>
      <c r="F465" s="28">
        <v>0</v>
      </c>
      <c r="G465" s="28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10</v>
      </c>
    </row>
    <row r="466" spans="2:19" x14ac:dyDescent="0.35">
      <c r="B466" s="1">
        <v>3516</v>
      </c>
      <c r="C466" s="1" t="s">
        <v>23</v>
      </c>
      <c r="D466" s="1" t="s">
        <v>20</v>
      </c>
      <c r="E466" s="1">
        <v>0</v>
      </c>
      <c r="F466" s="28">
        <v>2</v>
      </c>
      <c r="G466" s="28">
        <v>0</v>
      </c>
      <c r="H466" s="1">
        <v>2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6</v>
      </c>
    </row>
    <row r="467" spans="2:19" x14ac:dyDescent="0.35">
      <c r="B467" s="1">
        <v>3517</v>
      </c>
      <c r="C467" s="1" t="s">
        <v>19</v>
      </c>
      <c r="D467" s="1" t="s">
        <v>20</v>
      </c>
      <c r="E467" s="1">
        <v>0</v>
      </c>
      <c r="F467" s="28">
        <v>0</v>
      </c>
      <c r="G467" s="28">
        <v>5</v>
      </c>
      <c r="H467" s="1">
        <v>0</v>
      </c>
      <c r="I467" s="1">
        <v>0</v>
      </c>
      <c r="J467" s="1">
        <v>1</v>
      </c>
      <c r="K467" s="1">
        <v>0</v>
      </c>
      <c r="L467" s="1">
        <v>0</v>
      </c>
      <c r="M467" s="1">
        <v>0</v>
      </c>
      <c r="N467" s="1">
        <v>4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</row>
    <row r="468" spans="2:19" x14ac:dyDescent="0.35">
      <c r="B468" s="1">
        <v>3518</v>
      </c>
      <c r="C468" s="1" t="s">
        <v>22</v>
      </c>
      <c r="D468" s="1" t="s">
        <v>18</v>
      </c>
      <c r="E468" s="1">
        <v>0</v>
      </c>
      <c r="F468" s="28">
        <v>0</v>
      </c>
      <c r="G468" s="28">
        <v>8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1</v>
      </c>
      <c r="N468" s="1">
        <v>0</v>
      </c>
      <c r="O468" s="1">
        <v>0</v>
      </c>
      <c r="P468" s="1">
        <v>1</v>
      </c>
      <c r="Q468" s="1">
        <v>0</v>
      </c>
      <c r="R468" s="1">
        <v>0</v>
      </c>
      <c r="S468" s="1">
        <v>0</v>
      </c>
    </row>
    <row r="469" spans="2:19" x14ac:dyDescent="0.35">
      <c r="B469" s="1">
        <v>3519</v>
      </c>
      <c r="C469" s="1" t="s">
        <v>19</v>
      </c>
      <c r="D469" s="1" t="s">
        <v>18</v>
      </c>
      <c r="E469" s="1">
        <v>0</v>
      </c>
      <c r="F469" s="28">
        <v>0</v>
      </c>
      <c r="G469" s="28">
        <v>6</v>
      </c>
      <c r="H469" s="1">
        <v>0</v>
      </c>
      <c r="I469" s="1">
        <v>0</v>
      </c>
      <c r="J469" s="1">
        <v>1</v>
      </c>
      <c r="K469" s="1">
        <v>0</v>
      </c>
      <c r="L469" s="1">
        <v>3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</row>
    <row r="470" spans="2:19" x14ac:dyDescent="0.35">
      <c r="B470" s="1">
        <v>3520</v>
      </c>
      <c r="C470" s="1" t="s">
        <v>22</v>
      </c>
      <c r="D470" s="1" t="s">
        <v>18</v>
      </c>
      <c r="E470" s="1">
        <v>0</v>
      </c>
      <c r="F470" s="28">
        <v>0</v>
      </c>
      <c r="G470" s="28">
        <v>8</v>
      </c>
      <c r="H470" s="1">
        <v>0</v>
      </c>
      <c r="I470" s="1">
        <v>0</v>
      </c>
      <c r="J470" s="1">
        <v>1</v>
      </c>
      <c r="K470" s="1">
        <v>0</v>
      </c>
      <c r="L470" s="1">
        <v>0</v>
      </c>
      <c r="M470" s="1">
        <v>0</v>
      </c>
      <c r="N470" s="1">
        <v>1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</row>
    <row r="471" spans="2:19" x14ac:dyDescent="0.35">
      <c r="B471" s="1">
        <v>3521</v>
      </c>
      <c r="C471" s="1" t="s">
        <v>19</v>
      </c>
      <c r="D471" s="1" t="s">
        <v>20</v>
      </c>
      <c r="E471" s="1">
        <v>0</v>
      </c>
      <c r="F471" s="28">
        <v>0</v>
      </c>
      <c r="G471" s="28">
        <v>0</v>
      </c>
      <c r="H471" s="1">
        <v>5</v>
      </c>
      <c r="I471" s="1">
        <v>0</v>
      </c>
      <c r="J471" s="1">
        <v>0</v>
      </c>
      <c r="K471" s="1">
        <v>3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2</v>
      </c>
    </row>
    <row r="472" spans="2:19" x14ac:dyDescent="0.35">
      <c r="B472" s="1">
        <v>3522</v>
      </c>
      <c r="C472" s="1" t="s">
        <v>21</v>
      </c>
      <c r="D472" s="1" t="s">
        <v>18</v>
      </c>
      <c r="E472" s="1">
        <v>0</v>
      </c>
      <c r="F472" s="28">
        <v>0</v>
      </c>
      <c r="G472" s="28">
        <v>8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1</v>
      </c>
      <c r="O472" s="1">
        <v>0</v>
      </c>
      <c r="P472" s="1">
        <v>0</v>
      </c>
      <c r="Q472" s="1">
        <v>0</v>
      </c>
      <c r="R472" s="1">
        <v>0</v>
      </c>
      <c r="S472" s="1">
        <v>1</v>
      </c>
    </row>
    <row r="473" spans="2:19" x14ac:dyDescent="0.35">
      <c r="B473" s="1">
        <v>3523</v>
      </c>
      <c r="C473" s="1" t="s">
        <v>23</v>
      </c>
      <c r="D473" s="1" t="s">
        <v>20</v>
      </c>
      <c r="E473" s="1">
        <v>0</v>
      </c>
      <c r="F473" s="28">
        <v>0</v>
      </c>
      <c r="G473" s="28">
        <v>6</v>
      </c>
      <c r="H473" s="1">
        <v>0</v>
      </c>
      <c r="I473" s="1">
        <v>0</v>
      </c>
      <c r="J473" s="1">
        <v>0</v>
      </c>
      <c r="K473" s="1">
        <v>0</v>
      </c>
      <c r="L473" s="1">
        <v>3</v>
      </c>
      <c r="M473" s="1">
        <v>1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</row>
    <row r="474" spans="2:19" x14ac:dyDescent="0.35">
      <c r="B474" s="1">
        <v>3524</v>
      </c>
      <c r="C474" s="1" t="s">
        <v>19</v>
      </c>
      <c r="D474" s="1" t="s">
        <v>18</v>
      </c>
      <c r="E474" s="1">
        <v>0</v>
      </c>
      <c r="F474" s="28">
        <v>0</v>
      </c>
      <c r="G474" s="28">
        <v>6</v>
      </c>
      <c r="H474" s="1">
        <v>2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2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</row>
    <row r="475" spans="2:19" x14ac:dyDescent="0.35">
      <c r="B475" s="1">
        <v>3525</v>
      </c>
      <c r="C475" s="1" t="s">
        <v>22</v>
      </c>
      <c r="D475" s="1" t="s">
        <v>20</v>
      </c>
      <c r="E475" s="1">
        <v>0</v>
      </c>
      <c r="F475" s="28">
        <v>0</v>
      </c>
      <c r="G475" s="28">
        <v>5</v>
      </c>
      <c r="H475" s="1">
        <v>3</v>
      </c>
      <c r="I475" s="1">
        <v>0</v>
      </c>
      <c r="J475" s="1">
        <v>2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</row>
    <row r="476" spans="2:19" x14ac:dyDescent="0.35">
      <c r="B476" s="1">
        <v>3526</v>
      </c>
      <c r="C476" s="1" t="s">
        <v>22</v>
      </c>
      <c r="D476" s="1" t="s">
        <v>18</v>
      </c>
      <c r="E476" s="1">
        <v>0</v>
      </c>
      <c r="F476" s="28">
        <v>0</v>
      </c>
      <c r="G476" s="28">
        <v>7</v>
      </c>
      <c r="H476" s="1">
        <v>0</v>
      </c>
      <c r="I476" s="1">
        <v>0</v>
      </c>
      <c r="J476" s="1">
        <v>0</v>
      </c>
      <c r="K476" s="1">
        <v>2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1</v>
      </c>
      <c r="S476" s="1">
        <v>0</v>
      </c>
    </row>
    <row r="477" spans="2:19" x14ac:dyDescent="0.35">
      <c r="B477" s="1">
        <v>3527</v>
      </c>
      <c r="C477" s="1" t="s">
        <v>25</v>
      </c>
      <c r="D477" s="1" t="s">
        <v>20</v>
      </c>
      <c r="E477" s="1">
        <v>0</v>
      </c>
      <c r="F477" s="28">
        <v>0</v>
      </c>
      <c r="G477" s="28">
        <v>6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3</v>
      </c>
      <c r="O477" s="1">
        <v>1</v>
      </c>
      <c r="P477" s="1">
        <v>0</v>
      </c>
      <c r="Q477" s="1">
        <v>0</v>
      </c>
      <c r="R477" s="1">
        <v>0</v>
      </c>
      <c r="S477" s="1">
        <v>0</v>
      </c>
    </row>
    <row r="478" spans="2:19" x14ac:dyDescent="0.35">
      <c r="B478" s="1">
        <v>3528</v>
      </c>
      <c r="C478" s="1" t="s">
        <v>19</v>
      </c>
      <c r="D478" s="1" t="s">
        <v>20</v>
      </c>
      <c r="E478" s="1">
        <v>0</v>
      </c>
      <c r="F478" s="28">
        <v>0</v>
      </c>
      <c r="G478" s="28">
        <v>8</v>
      </c>
      <c r="H478" s="1">
        <v>1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1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</row>
    <row r="479" spans="2:19" x14ac:dyDescent="0.35">
      <c r="B479" s="1">
        <v>3529</v>
      </c>
      <c r="C479" s="1" t="s">
        <v>17</v>
      </c>
      <c r="D479" s="1" t="s">
        <v>18</v>
      </c>
      <c r="E479" s="1">
        <v>0</v>
      </c>
      <c r="F479" s="28">
        <v>0</v>
      </c>
      <c r="G479" s="28">
        <v>3</v>
      </c>
      <c r="H479" s="1">
        <v>1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6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</row>
    <row r="480" spans="2:19" x14ac:dyDescent="0.35">
      <c r="B480" s="1">
        <v>3530</v>
      </c>
      <c r="C480" s="1" t="s">
        <v>19</v>
      </c>
      <c r="D480" s="1" t="s">
        <v>18</v>
      </c>
      <c r="E480" s="1">
        <v>0</v>
      </c>
      <c r="F480" s="28">
        <v>0</v>
      </c>
      <c r="G480" s="28">
        <v>5</v>
      </c>
      <c r="H480" s="1">
        <v>0</v>
      </c>
      <c r="I480" s="1">
        <v>0</v>
      </c>
      <c r="J480" s="1">
        <v>0</v>
      </c>
      <c r="K480" s="1">
        <v>2</v>
      </c>
      <c r="L480" s="1">
        <v>3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</row>
    <row r="481" spans="2:19" x14ac:dyDescent="0.35">
      <c r="B481" s="1">
        <v>3531</v>
      </c>
      <c r="C481" s="1" t="s">
        <v>21</v>
      </c>
      <c r="D481" s="1" t="s">
        <v>20</v>
      </c>
      <c r="E481" s="1">
        <v>0</v>
      </c>
      <c r="F481" s="28">
        <v>0</v>
      </c>
      <c r="G481" s="28">
        <v>2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1</v>
      </c>
      <c r="O481" s="1">
        <v>7</v>
      </c>
      <c r="P481" s="1">
        <v>0</v>
      </c>
      <c r="Q481" s="1">
        <v>0</v>
      </c>
      <c r="R481" s="1">
        <v>0</v>
      </c>
      <c r="S481" s="1">
        <v>0</v>
      </c>
    </row>
    <row r="482" spans="2:19" x14ac:dyDescent="0.35">
      <c r="B482" s="1">
        <v>3532</v>
      </c>
      <c r="C482" s="1" t="s">
        <v>19</v>
      </c>
      <c r="D482" s="1" t="s">
        <v>20</v>
      </c>
      <c r="E482" s="1">
        <v>0</v>
      </c>
      <c r="F482" s="28">
        <v>0</v>
      </c>
      <c r="G482" s="28">
        <v>0</v>
      </c>
      <c r="H482" s="1">
        <v>1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1</v>
      </c>
      <c r="O482" s="1">
        <v>8</v>
      </c>
      <c r="P482" s="1">
        <v>0</v>
      </c>
      <c r="Q482" s="1">
        <v>0</v>
      </c>
      <c r="R482" s="1">
        <v>0</v>
      </c>
      <c r="S482" s="1">
        <v>0</v>
      </c>
    </row>
    <row r="483" spans="2:19" x14ac:dyDescent="0.35">
      <c r="B483" s="1">
        <v>3533</v>
      </c>
      <c r="C483" s="1" t="s">
        <v>19</v>
      </c>
      <c r="D483" s="1" t="s">
        <v>18</v>
      </c>
      <c r="E483" s="1">
        <v>1</v>
      </c>
      <c r="F483" s="28">
        <v>0</v>
      </c>
      <c r="G483" s="28">
        <v>0</v>
      </c>
      <c r="H483" s="1">
        <v>4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5</v>
      </c>
      <c r="P483" s="1">
        <v>0</v>
      </c>
      <c r="Q483" s="1">
        <v>0</v>
      </c>
      <c r="R483" s="1">
        <v>0</v>
      </c>
      <c r="S483" s="1">
        <v>0</v>
      </c>
    </row>
    <row r="484" spans="2:19" x14ac:dyDescent="0.35">
      <c r="B484" s="1">
        <v>3534</v>
      </c>
      <c r="C484" s="1" t="s">
        <v>19</v>
      </c>
      <c r="D484" s="1" t="s">
        <v>20</v>
      </c>
      <c r="E484" s="1">
        <v>0</v>
      </c>
      <c r="F484" s="28">
        <v>0</v>
      </c>
      <c r="G484" s="28">
        <v>0</v>
      </c>
      <c r="H484" s="1">
        <v>3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2</v>
      </c>
      <c r="O484" s="1">
        <v>5</v>
      </c>
      <c r="P484" s="1">
        <v>0</v>
      </c>
      <c r="Q484" s="1">
        <v>0</v>
      </c>
      <c r="R484" s="1">
        <v>0</v>
      </c>
      <c r="S484" s="1">
        <v>0</v>
      </c>
    </row>
    <row r="485" spans="2:19" x14ac:dyDescent="0.35">
      <c r="B485" s="1">
        <v>3535</v>
      </c>
      <c r="C485" s="1" t="s">
        <v>23</v>
      </c>
      <c r="D485" s="1" t="s">
        <v>20</v>
      </c>
      <c r="E485" s="1">
        <v>0</v>
      </c>
      <c r="F485" s="28">
        <v>2</v>
      </c>
      <c r="G485" s="28">
        <v>0</v>
      </c>
      <c r="H485" s="1">
        <v>0</v>
      </c>
      <c r="I485" s="1">
        <v>0</v>
      </c>
      <c r="J485" s="1">
        <v>3</v>
      </c>
      <c r="K485" s="1">
        <v>0</v>
      </c>
      <c r="L485" s="1">
        <v>0</v>
      </c>
      <c r="M485" s="1">
        <v>0</v>
      </c>
      <c r="N485" s="1">
        <v>0</v>
      </c>
      <c r="O485" s="1">
        <v>5</v>
      </c>
      <c r="P485" s="1">
        <v>0</v>
      </c>
      <c r="Q485" s="1">
        <v>0</v>
      </c>
      <c r="R485" s="1">
        <v>0</v>
      </c>
      <c r="S485" s="1">
        <v>0</v>
      </c>
    </row>
    <row r="486" spans="2:19" x14ac:dyDescent="0.35">
      <c r="B486" s="1">
        <v>3536</v>
      </c>
      <c r="C486" s="1" t="s">
        <v>22</v>
      </c>
      <c r="D486" s="1" t="s">
        <v>20</v>
      </c>
      <c r="E486" s="1">
        <v>0</v>
      </c>
      <c r="F486" s="28">
        <v>0</v>
      </c>
      <c r="G486" s="28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  <c r="M486" s="1">
        <v>2</v>
      </c>
      <c r="N486" s="1">
        <v>3</v>
      </c>
      <c r="O486" s="1">
        <v>5</v>
      </c>
      <c r="P486" s="1">
        <v>0</v>
      </c>
      <c r="Q486" s="1">
        <v>0</v>
      </c>
      <c r="R486" s="1">
        <v>0</v>
      </c>
      <c r="S486" s="1">
        <v>0</v>
      </c>
    </row>
    <row r="487" spans="2:19" x14ac:dyDescent="0.35">
      <c r="B487" s="1">
        <v>3537</v>
      </c>
      <c r="C487" s="1" t="s">
        <v>19</v>
      </c>
      <c r="D487" s="1" t="s">
        <v>20</v>
      </c>
      <c r="E487" s="1">
        <v>0</v>
      </c>
      <c r="F487" s="28">
        <v>0</v>
      </c>
      <c r="G487" s="28">
        <v>0</v>
      </c>
      <c r="H487" s="1">
        <v>1</v>
      </c>
      <c r="I487" s="1">
        <v>2</v>
      </c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7</v>
      </c>
      <c r="P487" s="1">
        <v>0</v>
      </c>
      <c r="Q487" s="1">
        <v>0</v>
      </c>
      <c r="R487" s="1">
        <v>0</v>
      </c>
      <c r="S487" s="1">
        <v>0</v>
      </c>
    </row>
    <row r="488" spans="2:19" x14ac:dyDescent="0.35">
      <c r="B488" s="1">
        <v>3538</v>
      </c>
      <c r="C488" s="1" t="s">
        <v>23</v>
      </c>
      <c r="D488" s="1" t="s">
        <v>20</v>
      </c>
      <c r="E488" s="1">
        <v>0</v>
      </c>
      <c r="F488" s="28">
        <v>0</v>
      </c>
      <c r="G488" s="28">
        <v>0</v>
      </c>
      <c r="H488" s="1">
        <v>0</v>
      </c>
      <c r="I488" s="1">
        <v>3</v>
      </c>
      <c r="J488" s="1">
        <v>0</v>
      </c>
      <c r="K488" s="1">
        <v>0</v>
      </c>
      <c r="L488" s="1">
        <v>0</v>
      </c>
      <c r="M488" s="1">
        <v>0</v>
      </c>
      <c r="N488" s="1">
        <v>2</v>
      </c>
      <c r="O488" s="1">
        <v>5</v>
      </c>
      <c r="P488" s="1">
        <v>0</v>
      </c>
      <c r="Q488" s="1">
        <v>0</v>
      </c>
      <c r="R488" s="1">
        <v>0</v>
      </c>
      <c r="S488" s="1">
        <v>0</v>
      </c>
    </row>
    <row r="489" spans="2:19" x14ac:dyDescent="0.35">
      <c r="B489" s="1">
        <v>3539</v>
      </c>
      <c r="C489" s="1" t="s">
        <v>17</v>
      </c>
      <c r="D489" s="1" t="s">
        <v>20</v>
      </c>
      <c r="E489" s="1">
        <v>0</v>
      </c>
      <c r="F489" s="28">
        <v>1</v>
      </c>
      <c r="G489" s="28">
        <v>0</v>
      </c>
      <c r="H489" s="1">
        <v>3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N489" s="1">
        <v>0</v>
      </c>
      <c r="O489" s="1">
        <v>6</v>
      </c>
      <c r="P489" s="1">
        <v>0</v>
      </c>
      <c r="Q489" s="1">
        <v>0</v>
      </c>
      <c r="R489" s="1">
        <v>0</v>
      </c>
      <c r="S489" s="1">
        <v>0</v>
      </c>
    </row>
    <row r="490" spans="2:19" x14ac:dyDescent="0.35">
      <c r="B490" s="1">
        <v>3540</v>
      </c>
      <c r="C490" s="1" t="s">
        <v>17</v>
      </c>
      <c r="D490" s="1" t="s">
        <v>20</v>
      </c>
      <c r="E490" s="1">
        <v>0</v>
      </c>
      <c r="F490" s="28">
        <v>0</v>
      </c>
      <c r="G490" s="28">
        <v>0</v>
      </c>
      <c r="H490" s="1">
        <v>3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6</v>
      </c>
      <c r="P490" s="1">
        <v>0</v>
      </c>
      <c r="Q490" s="1">
        <v>0</v>
      </c>
      <c r="R490" s="1">
        <v>0</v>
      </c>
      <c r="S490" s="1">
        <v>1</v>
      </c>
    </row>
    <row r="491" spans="2:19" x14ac:dyDescent="0.35">
      <c r="B491" s="1">
        <v>3541</v>
      </c>
      <c r="C491" s="1" t="s">
        <v>28</v>
      </c>
      <c r="D491" s="1" t="s">
        <v>18</v>
      </c>
      <c r="E491" s="1">
        <v>0</v>
      </c>
      <c r="F491" s="28">
        <v>0</v>
      </c>
      <c r="G491" s="28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2</v>
      </c>
      <c r="O491" s="1">
        <v>6</v>
      </c>
      <c r="P491" s="1">
        <v>2</v>
      </c>
      <c r="Q491" s="1">
        <v>0</v>
      </c>
      <c r="R491" s="1">
        <v>0</v>
      </c>
      <c r="S491" s="1">
        <v>0</v>
      </c>
    </row>
    <row r="492" spans="2:19" x14ac:dyDescent="0.35">
      <c r="B492" s="1">
        <v>3542</v>
      </c>
      <c r="C492" s="1" t="s">
        <v>17</v>
      </c>
      <c r="D492" s="1" t="s">
        <v>20</v>
      </c>
      <c r="E492" s="1">
        <v>0</v>
      </c>
      <c r="F492" s="28">
        <v>0</v>
      </c>
      <c r="G492" s="28">
        <v>0</v>
      </c>
      <c r="H492" s="1">
        <v>3</v>
      </c>
      <c r="I492" s="1">
        <v>0</v>
      </c>
      <c r="J492" s="1">
        <v>0</v>
      </c>
      <c r="K492" s="1">
        <v>0</v>
      </c>
      <c r="L492" s="1">
        <v>1</v>
      </c>
      <c r="M492" s="1">
        <v>0</v>
      </c>
      <c r="N492" s="1">
        <v>0</v>
      </c>
      <c r="O492" s="1">
        <v>6</v>
      </c>
      <c r="P492" s="1">
        <v>0</v>
      </c>
      <c r="Q492" s="1">
        <v>0</v>
      </c>
      <c r="R492" s="1">
        <v>0</v>
      </c>
      <c r="S492" s="1">
        <v>0</v>
      </c>
    </row>
    <row r="493" spans="2:19" x14ac:dyDescent="0.35">
      <c r="B493" s="1">
        <v>3543</v>
      </c>
      <c r="C493" s="1" t="s">
        <v>17</v>
      </c>
      <c r="D493" s="1" t="s">
        <v>20</v>
      </c>
      <c r="E493" s="1">
        <v>0</v>
      </c>
      <c r="F493" s="28">
        <v>0</v>
      </c>
      <c r="G493" s="28">
        <v>0</v>
      </c>
      <c r="H493" s="1">
        <v>5</v>
      </c>
      <c r="I493" s="1">
        <v>0</v>
      </c>
      <c r="J493" s="1">
        <v>0</v>
      </c>
      <c r="K493" s="1">
        <v>3</v>
      </c>
      <c r="L493" s="1">
        <v>0</v>
      </c>
      <c r="M493" s="1">
        <v>0</v>
      </c>
      <c r="N493" s="1">
        <v>2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</row>
    <row r="494" spans="2:19" x14ac:dyDescent="0.35">
      <c r="B494" s="1">
        <v>3544</v>
      </c>
      <c r="C494" s="1" t="s">
        <v>21</v>
      </c>
      <c r="D494" s="1" t="s">
        <v>18</v>
      </c>
      <c r="E494" s="1">
        <v>0</v>
      </c>
      <c r="F494" s="28">
        <v>0</v>
      </c>
      <c r="G494" s="28">
        <v>0</v>
      </c>
      <c r="H494" s="1">
        <v>8</v>
      </c>
      <c r="I494" s="1">
        <v>0</v>
      </c>
      <c r="J494" s="1">
        <v>0</v>
      </c>
      <c r="K494" s="1">
        <v>1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1</v>
      </c>
    </row>
    <row r="495" spans="2:19" x14ac:dyDescent="0.35">
      <c r="B495" s="1">
        <v>3545</v>
      </c>
      <c r="C495" s="1" t="s">
        <v>19</v>
      </c>
      <c r="D495" s="1" t="s">
        <v>20</v>
      </c>
      <c r="E495" s="1">
        <v>0</v>
      </c>
      <c r="F495" s="28">
        <v>0</v>
      </c>
      <c r="G495" s="28">
        <v>3</v>
      </c>
      <c r="H495" s="1">
        <v>0</v>
      </c>
      <c r="I495" s="1">
        <v>0</v>
      </c>
      <c r="J495" s="1">
        <v>1</v>
      </c>
      <c r="K495" s="1">
        <v>6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</row>
    <row r="496" spans="2:19" x14ac:dyDescent="0.35">
      <c r="B496" s="1">
        <v>3546</v>
      </c>
      <c r="C496" s="1" t="s">
        <v>19</v>
      </c>
      <c r="D496" s="1" t="s">
        <v>20</v>
      </c>
      <c r="E496" s="1">
        <v>0</v>
      </c>
      <c r="F496" s="28">
        <v>1</v>
      </c>
      <c r="G496" s="28">
        <v>0</v>
      </c>
      <c r="H496" s="1">
        <v>7</v>
      </c>
      <c r="I496" s="1">
        <v>0</v>
      </c>
      <c r="J496" s="1">
        <v>0</v>
      </c>
      <c r="K496" s="1">
        <v>2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</row>
    <row r="497" spans="2:19" x14ac:dyDescent="0.35">
      <c r="B497" s="1">
        <v>3547</v>
      </c>
      <c r="C497" s="1" t="s">
        <v>19</v>
      </c>
      <c r="D497" s="1" t="s">
        <v>18</v>
      </c>
      <c r="E497" s="1">
        <v>0</v>
      </c>
      <c r="F497" s="28">
        <v>0</v>
      </c>
      <c r="G497" s="28">
        <v>0</v>
      </c>
      <c r="H497" s="1">
        <v>0</v>
      </c>
      <c r="I497" s="1">
        <v>0</v>
      </c>
      <c r="J497" s="1">
        <v>0</v>
      </c>
      <c r="K497" s="1">
        <v>5</v>
      </c>
      <c r="L497" s="1">
        <v>0</v>
      </c>
      <c r="M497" s="1">
        <v>0</v>
      </c>
      <c r="N497" s="1">
        <v>0</v>
      </c>
      <c r="O497" s="1">
        <v>4</v>
      </c>
      <c r="P497" s="1">
        <v>1</v>
      </c>
      <c r="Q497" s="1">
        <v>0</v>
      </c>
      <c r="R497" s="1">
        <v>0</v>
      </c>
      <c r="S497" s="1">
        <v>0</v>
      </c>
    </row>
    <row r="498" spans="2:19" x14ac:dyDescent="0.35">
      <c r="B498" s="1">
        <v>3548</v>
      </c>
      <c r="C498" s="1" t="s">
        <v>23</v>
      </c>
      <c r="D498" s="1" t="s">
        <v>18</v>
      </c>
      <c r="E498" s="1">
        <v>0</v>
      </c>
      <c r="F498" s="28">
        <v>0</v>
      </c>
      <c r="G498" s="28">
        <v>2</v>
      </c>
      <c r="H498" s="1">
        <v>0</v>
      </c>
      <c r="I498" s="1">
        <v>0</v>
      </c>
      <c r="J498" s="1">
        <v>1</v>
      </c>
      <c r="K498" s="1">
        <v>0</v>
      </c>
      <c r="L498" s="1">
        <v>0</v>
      </c>
      <c r="M498" s="1">
        <v>0</v>
      </c>
      <c r="N498" s="1">
        <v>7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</row>
    <row r="499" spans="2:19" x14ac:dyDescent="0.35">
      <c r="B499" s="1">
        <v>3549</v>
      </c>
      <c r="C499" s="1" t="s">
        <v>21</v>
      </c>
      <c r="D499" s="1" t="s">
        <v>20</v>
      </c>
      <c r="E499" s="1">
        <v>0</v>
      </c>
      <c r="F499" s="28">
        <v>0</v>
      </c>
      <c r="G499" s="28">
        <v>0</v>
      </c>
      <c r="H499" s="1">
        <v>0</v>
      </c>
      <c r="I499" s="1">
        <v>2</v>
      </c>
      <c r="J499" s="1">
        <v>0</v>
      </c>
      <c r="K499" s="1">
        <v>7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1</v>
      </c>
    </row>
    <row r="500" spans="2:19" x14ac:dyDescent="0.35">
      <c r="B500" s="1">
        <v>3550</v>
      </c>
      <c r="C500" s="1" t="s">
        <v>19</v>
      </c>
      <c r="D500" s="1" t="s">
        <v>20</v>
      </c>
      <c r="E500" s="1">
        <v>0</v>
      </c>
      <c r="F500" s="28">
        <v>0</v>
      </c>
      <c r="G500" s="28">
        <v>2</v>
      </c>
      <c r="H500" s="1">
        <v>0</v>
      </c>
      <c r="I500" s="1">
        <v>0</v>
      </c>
      <c r="J500" s="1">
        <v>1</v>
      </c>
      <c r="K500" s="1">
        <v>0</v>
      </c>
      <c r="L500" s="1">
        <v>0</v>
      </c>
      <c r="M500" s="1">
        <v>0</v>
      </c>
      <c r="N500" s="1">
        <v>7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</row>
    <row r="501" spans="2:19" x14ac:dyDescent="0.35">
      <c r="B501" s="1">
        <v>3551</v>
      </c>
      <c r="C501" s="1" t="s">
        <v>17</v>
      </c>
      <c r="D501" s="1" t="s">
        <v>20</v>
      </c>
      <c r="E501" s="1">
        <v>0</v>
      </c>
      <c r="F501" s="28">
        <v>0</v>
      </c>
      <c r="G501" s="28">
        <v>0</v>
      </c>
      <c r="H501" s="1">
        <v>0</v>
      </c>
      <c r="I501" s="1">
        <v>0</v>
      </c>
      <c r="J501" s="1">
        <v>0</v>
      </c>
      <c r="K501" s="1">
        <v>8</v>
      </c>
      <c r="L501" s="1">
        <v>0</v>
      </c>
      <c r="M501" s="1">
        <v>0</v>
      </c>
      <c r="N501" s="1">
        <v>0</v>
      </c>
      <c r="O501" s="1">
        <v>1</v>
      </c>
      <c r="P501" s="1">
        <v>1</v>
      </c>
      <c r="Q501" s="1">
        <v>0</v>
      </c>
      <c r="R501" s="1">
        <v>0</v>
      </c>
      <c r="S501" s="1">
        <v>0</v>
      </c>
    </row>
    <row r="502" spans="2:19" x14ac:dyDescent="0.35">
      <c r="B502" s="1">
        <v>3552</v>
      </c>
      <c r="C502" s="1" t="s">
        <v>21</v>
      </c>
      <c r="D502" s="1" t="s">
        <v>20</v>
      </c>
      <c r="E502" s="1">
        <v>0</v>
      </c>
      <c r="F502" s="28">
        <v>0</v>
      </c>
      <c r="G502" s="28">
        <v>2</v>
      </c>
      <c r="H502" s="1">
        <v>0</v>
      </c>
      <c r="I502" s="1">
        <v>0</v>
      </c>
      <c r="J502" s="1">
        <v>0</v>
      </c>
      <c r="K502" s="1">
        <v>7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1</v>
      </c>
      <c r="S502" s="1">
        <v>0</v>
      </c>
    </row>
    <row r="503" spans="2:19" x14ac:dyDescent="0.35">
      <c r="B503" s="1">
        <v>3553</v>
      </c>
      <c r="C503" s="1" t="s">
        <v>19</v>
      </c>
      <c r="D503" s="1" t="s">
        <v>18</v>
      </c>
      <c r="E503" s="1">
        <v>0</v>
      </c>
      <c r="F503" s="28">
        <v>0</v>
      </c>
      <c r="G503" s="28">
        <v>1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  <c r="M503" s="1">
        <v>0</v>
      </c>
      <c r="N503" s="1">
        <v>8</v>
      </c>
      <c r="O503" s="1">
        <v>0</v>
      </c>
      <c r="P503" s="1">
        <v>1</v>
      </c>
      <c r="Q503" s="1">
        <v>0</v>
      </c>
      <c r="R503" s="1">
        <v>0</v>
      </c>
      <c r="S503" s="1">
        <v>0</v>
      </c>
    </row>
    <row r="504" spans="2:19" x14ac:dyDescent="0.35">
      <c r="B504" s="1">
        <v>3554</v>
      </c>
      <c r="C504" s="1" t="s">
        <v>22</v>
      </c>
      <c r="D504" s="1" t="s">
        <v>18</v>
      </c>
      <c r="E504" s="1">
        <v>0</v>
      </c>
      <c r="F504" s="28">
        <v>0</v>
      </c>
      <c r="G504" s="28">
        <v>2</v>
      </c>
      <c r="H504" s="1">
        <v>0</v>
      </c>
      <c r="I504" s="1">
        <v>0</v>
      </c>
      <c r="J504" s="1">
        <v>1</v>
      </c>
      <c r="K504" s="1">
        <v>0</v>
      </c>
      <c r="L504" s="1">
        <v>0</v>
      </c>
      <c r="M504" s="1">
        <v>0</v>
      </c>
      <c r="N504" s="1">
        <v>7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</row>
    <row r="505" spans="2:19" x14ac:dyDescent="0.35">
      <c r="B505" s="1">
        <v>3555</v>
      </c>
      <c r="C505" s="1" t="s">
        <v>23</v>
      </c>
      <c r="D505" s="1" t="s">
        <v>20</v>
      </c>
      <c r="E505" s="1">
        <v>0</v>
      </c>
      <c r="F505" s="28">
        <v>0</v>
      </c>
      <c r="G505" s="28">
        <v>0</v>
      </c>
      <c r="H505" s="1">
        <v>8</v>
      </c>
      <c r="I505" s="1">
        <v>0</v>
      </c>
      <c r="J505" s="1">
        <v>0</v>
      </c>
      <c r="K505" s="1">
        <v>1</v>
      </c>
      <c r="L505" s="1">
        <v>0</v>
      </c>
      <c r="M505" s="1">
        <v>0</v>
      </c>
      <c r="N505" s="1">
        <v>0</v>
      </c>
      <c r="O505" s="1">
        <v>0</v>
      </c>
      <c r="P505" s="1">
        <v>1</v>
      </c>
      <c r="Q505" s="1">
        <v>0</v>
      </c>
      <c r="R505" s="1">
        <v>0</v>
      </c>
      <c r="S505" s="1">
        <v>0</v>
      </c>
    </row>
    <row r="506" spans="2:19" x14ac:dyDescent="0.35">
      <c r="B506" s="1">
        <v>3556</v>
      </c>
      <c r="C506" s="1" t="s">
        <v>17</v>
      </c>
      <c r="D506" s="1" t="s">
        <v>20</v>
      </c>
      <c r="E506" s="1">
        <v>0</v>
      </c>
      <c r="F506" s="28">
        <v>0</v>
      </c>
      <c r="G506" s="28">
        <v>0</v>
      </c>
      <c r="H506" s="1">
        <v>8</v>
      </c>
      <c r="I506" s="1">
        <v>0</v>
      </c>
      <c r="J506" s="1">
        <v>0</v>
      </c>
      <c r="K506" s="1">
        <v>2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</row>
    <row r="507" spans="2:19" x14ac:dyDescent="0.35">
      <c r="B507" s="1">
        <v>3557</v>
      </c>
      <c r="C507" s="1" t="s">
        <v>17</v>
      </c>
      <c r="D507" s="1" t="s">
        <v>20</v>
      </c>
      <c r="E507" s="1">
        <v>0</v>
      </c>
      <c r="F507" s="28">
        <v>0</v>
      </c>
      <c r="G507" s="28">
        <v>0</v>
      </c>
      <c r="H507" s="1">
        <v>5</v>
      </c>
      <c r="I507" s="1">
        <v>0</v>
      </c>
      <c r="J507" s="1">
        <v>0</v>
      </c>
      <c r="K507" s="1">
        <v>3</v>
      </c>
      <c r="L507" s="1">
        <v>0</v>
      </c>
      <c r="M507" s="1">
        <v>0</v>
      </c>
      <c r="N507" s="1">
        <v>0</v>
      </c>
      <c r="O507" s="1">
        <v>2</v>
      </c>
      <c r="P507" s="1">
        <v>0</v>
      </c>
      <c r="Q507" s="1">
        <v>0</v>
      </c>
      <c r="R507" s="1">
        <v>0</v>
      </c>
      <c r="S507" s="1">
        <v>0</v>
      </c>
    </row>
    <row r="508" spans="2:19" x14ac:dyDescent="0.35">
      <c r="B508" s="1">
        <v>3558</v>
      </c>
      <c r="C508" s="1" t="s">
        <v>19</v>
      </c>
      <c r="D508" s="1" t="s">
        <v>18</v>
      </c>
      <c r="E508" s="1">
        <v>0</v>
      </c>
      <c r="F508" s="28">
        <v>2</v>
      </c>
      <c r="G508" s="28">
        <v>0</v>
      </c>
      <c r="H508" s="1">
        <v>7</v>
      </c>
      <c r="I508" s="1">
        <v>0</v>
      </c>
      <c r="J508" s="1">
        <v>0</v>
      </c>
      <c r="K508" s="1">
        <v>0</v>
      </c>
      <c r="L508" s="1">
        <v>0</v>
      </c>
      <c r="M508" s="1">
        <v>0</v>
      </c>
      <c r="N508" s="1">
        <v>0</v>
      </c>
      <c r="O508" s="1">
        <v>1</v>
      </c>
      <c r="P508" s="1">
        <v>0</v>
      </c>
      <c r="Q508" s="1">
        <v>0</v>
      </c>
      <c r="R508" s="1">
        <v>0</v>
      </c>
      <c r="S508" s="1">
        <v>0</v>
      </c>
    </row>
    <row r="509" spans="2:19" x14ac:dyDescent="0.35">
      <c r="B509" s="1">
        <v>3559</v>
      </c>
      <c r="C509" s="1" t="s">
        <v>19</v>
      </c>
      <c r="D509" s="1" t="s">
        <v>20</v>
      </c>
      <c r="E509" s="1">
        <v>0</v>
      </c>
      <c r="F509" s="28">
        <v>2</v>
      </c>
      <c r="G509" s="28">
        <v>0</v>
      </c>
      <c r="H509" s="1">
        <v>7</v>
      </c>
      <c r="I509" s="1">
        <v>1</v>
      </c>
      <c r="J509" s="1">
        <v>0</v>
      </c>
      <c r="K509" s="1">
        <v>0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</row>
    <row r="510" spans="2:19" x14ac:dyDescent="0.35">
      <c r="B510" s="1">
        <v>3560</v>
      </c>
      <c r="C510" s="1" t="s">
        <v>17</v>
      </c>
      <c r="D510" s="1" t="s">
        <v>20</v>
      </c>
      <c r="E510" s="1">
        <v>0</v>
      </c>
      <c r="F510" s="28">
        <v>0</v>
      </c>
      <c r="G510" s="28">
        <v>0</v>
      </c>
      <c r="H510" s="1">
        <v>6</v>
      </c>
      <c r="I510" s="1">
        <v>0</v>
      </c>
      <c r="J510" s="1">
        <v>0</v>
      </c>
      <c r="K510" s="1">
        <v>0</v>
      </c>
      <c r="L510" s="1">
        <v>2</v>
      </c>
      <c r="M510" s="1">
        <v>0</v>
      </c>
      <c r="N510" s="1">
        <v>2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</row>
    <row r="511" spans="2:19" x14ac:dyDescent="0.35">
      <c r="B511" s="1">
        <v>3561</v>
      </c>
      <c r="C511" s="1" t="s">
        <v>19</v>
      </c>
      <c r="D511" s="1" t="s">
        <v>18</v>
      </c>
      <c r="E511" s="1">
        <v>1</v>
      </c>
      <c r="F511" s="28">
        <v>3</v>
      </c>
      <c r="G511" s="28">
        <v>0</v>
      </c>
      <c r="H511" s="1">
        <v>6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</row>
    <row r="512" spans="2:19" x14ac:dyDescent="0.35">
      <c r="B512" s="1">
        <v>3562</v>
      </c>
      <c r="C512" s="1" t="s">
        <v>17</v>
      </c>
      <c r="D512" s="1" t="s">
        <v>18</v>
      </c>
      <c r="E512" s="1">
        <v>0</v>
      </c>
      <c r="F512" s="28">
        <v>0</v>
      </c>
      <c r="G512" s="28">
        <v>0</v>
      </c>
      <c r="H512" s="1">
        <v>7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N512" s="1">
        <v>1</v>
      </c>
      <c r="O512" s="1">
        <v>2</v>
      </c>
      <c r="P512" s="1">
        <v>0</v>
      </c>
      <c r="Q512" s="1">
        <v>0</v>
      </c>
      <c r="R512" s="1">
        <v>0</v>
      </c>
      <c r="S512" s="1">
        <v>0</v>
      </c>
    </row>
    <row r="513" spans="2:19" x14ac:dyDescent="0.35">
      <c r="B513" s="1">
        <v>3563</v>
      </c>
      <c r="C513" s="1" t="s">
        <v>19</v>
      </c>
      <c r="D513" s="1" t="s">
        <v>20</v>
      </c>
      <c r="E513" s="1">
        <v>0</v>
      </c>
      <c r="F513" s="28">
        <v>0</v>
      </c>
      <c r="G513" s="28">
        <v>0</v>
      </c>
      <c r="H513" s="1">
        <v>7</v>
      </c>
      <c r="I513" s="1">
        <v>0</v>
      </c>
      <c r="J513" s="1">
        <v>0</v>
      </c>
      <c r="K513" s="1">
        <v>1</v>
      </c>
      <c r="L513" s="1">
        <v>0</v>
      </c>
      <c r="M513" s="1">
        <v>0</v>
      </c>
      <c r="N513" s="1">
        <v>0</v>
      </c>
      <c r="O513" s="1">
        <v>2</v>
      </c>
      <c r="P513" s="1">
        <v>0</v>
      </c>
      <c r="Q513" s="1">
        <v>0</v>
      </c>
      <c r="R513" s="1">
        <v>0</v>
      </c>
      <c r="S513" s="1">
        <v>0</v>
      </c>
    </row>
    <row r="514" spans="2:19" x14ac:dyDescent="0.35">
      <c r="B514" s="1">
        <v>3564</v>
      </c>
      <c r="C514" s="1" t="s">
        <v>19</v>
      </c>
      <c r="D514" s="1" t="s">
        <v>20</v>
      </c>
      <c r="E514" s="1">
        <v>0</v>
      </c>
      <c r="F514" s="28">
        <v>2</v>
      </c>
      <c r="G514" s="28">
        <v>0</v>
      </c>
      <c r="H514" s="1">
        <v>7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1</v>
      </c>
      <c r="R514" s="1">
        <v>0</v>
      </c>
      <c r="S514" s="1">
        <v>0</v>
      </c>
    </row>
    <row r="515" spans="2:19" x14ac:dyDescent="0.35">
      <c r="B515" s="1">
        <v>3565</v>
      </c>
      <c r="C515" s="1" t="s">
        <v>19</v>
      </c>
      <c r="D515" s="1" t="s">
        <v>18</v>
      </c>
      <c r="E515" s="1">
        <v>0</v>
      </c>
      <c r="F515" s="28">
        <v>0</v>
      </c>
      <c r="G515" s="28">
        <v>0</v>
      </c>
      <c r="H515" s="1">
        <v>8</v>
      </c>
      <c r="I515" s="1">
        <v>1</v>
      </c>
      <c r="J515" s="1">
        <v>0</v>
      </c>
      <c r="K515" s="1">
        <v>0</v>
      </c>
      <c r="L515" s="1">
        <v>0</v>
      </c>
      <c r="M515" s="1">
        <v>0</v>
      </c>
      <c r="N515" s="1">
        <v>1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</row>
    <row r="516" spans="2:19" x14ac:dyDescent="0.35">
      <c r="B516" s="1">
        <v>3566</v>
      </c>
      <c r="C516" s="1" t="s">
        <v>17</v>
      </c>
      <c r="D516" s="1" t="s">
        <v>18</v>
      </c>
      <c r="E516" s="1">
        <v>0</v>
      </c>
      <c r="F516" s="28">
        <v>0</v>
      </c>
      <c r="G516" s="28">
        <v>2</v>
      </c>
      <c r="H516" s="1">
        <v>7</v>
      </c>
      <c r="I516" s="1">
        <v>0</v>
      </c>
      <c r="J516" s="1">
        <v>0</v>
      </c>
      <c r="K516" s="1">
        <v>0</v>
      </c>
      <c r="L516" s="1">
        <v>0</v>
      </c>
      <c r="M516" s="1">
        <v>1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</row>
    <row r="517" spans="2:19" x14ac:dyDescent="0.35">
      <c r="B517" s="1">
        <v>3567</v>
      </c>
      <c r="C517" s="1" t="s">
        <v>17</v>
      </c>
      <c r="D517" s="1" t="s">
        <v>18</v>
      </c>
      <c r="E517" s="1">
        <v>0</v>
      </c>
      <c r="F517" s="28">
        <v>0</v>
      </c>
      <c r="G517" s="28">
        <v>0</v>
      </c>
      <c r="H517" s="1">
        <v>5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3</v>
      </c>
      <c r="P517" s="1">
        <v>0</v>
      </c>
      <c r="Q517" s="1">
        <v>2</v>
      </c>
      <c r="R517" s="1">
        <v>0</v>
      </c>
      <c r="S517" s="1">
        <v>0</v>
      </c>
    </row>
    <row r="518" spans="2:19" x14ac:dyDescent="0.35">
      <c r="B518" s="1">
        <v>3568</v>
      </c>
      <c r="C518" s="1" t="s">
        <v>23</v>
      </c>
      <c r="D518" s="1" t="s">
        <v>20</v>
      </c>
      <c r="E518" s="1">
        <v>2</v>
      </c>
      <c r="F518" s="28">
        <v>3</v>
      </c>
      <c r="G518" s="28">
        <v>0</v>
      </c>
      <c r="H518" s="1">
        <v>5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</row>
    <row r="519" spans="2:19" x14ac:dyDescent="0.35">
      <c r="B519" s="1">
        <v>3569</v>
      </c>
      <c r="C519" s="1" t="s">
        <v>17</v>
      </c>
      <c r="D519" s="1" t="s">
        <v>20</v>
      </c>
      <c r="E519" s="1">
        <v>0</v>
      </c>
      <c r="F519" s="28">
        <v>3</v>
      </c>
      <c r="G519" s="28">
        <v>0</v>
      </c>
      <c r="H519" s="1">
        <v>5</v>
      </c>
      <c r="I519" s="1">
        <v>0</v>
      </c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2</v>
      </c>
      <c r="R519" s="1">
        <v>0</v>
      </c>
      <c r="S519" s="1">
        <v>0</v>
      </c>
    </row>
    <row r="520" spans="2:19" x14ac:dyDescent="0.35">
      <c r="B520" s="1">
        <v>3570</v>
      </c>
      <c r="C520" s="1" t="s">
        <v>22</v>
      </c>
      <c r="D520" s="1" t="s">
        <v>20</v>
      </c>
      <c r="E520" s="1">
        <v>0</v>
      </c>
      <c r="F520" s="28">
        <v>4</v>
      </c>
      <c r="G520" s="28">
        <v>0</v>
      </c>
      <c r="H520" s="1">
        <v>5</v>
      </c>
      <c r="I520" s="1">
        <v>0</v>
      </c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1</v>
      </c>
      <c r="R520" s="1">
        <v>0</v>
      </c>
      <c r="S520" s="1">
        <v>0</v>
      </c>
    </row>
    <row r="521" spans="2:19" x14ac:dyDescent="0.35">
      <c r="B521" s="1">
        <v>3571</v>
      </c>
      <c r="C521" s="1" t="s">
        <v>24</v>
      </c>
      <c r="D521" s="1" t="s">
        <v>20</v>
      </c>
      <c r="E521" s="1">
        <v>1</v>
      </c>
      <c r="F521" s="28">
        <v>0</v>
      </c>
      <c r="G521" s="28">
        <v>0</v>
      </c>
      <c r="H521" s="1">
        <v>8</v>
      </c>
      <c r="I521" s="1">
        <v>0</v>
      </c>
      <c r="J521" s="1">
        <v>0</v>
      </c>
      <c r="K521" s="1">
        <v>1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1">
        <v>0</v>
      </c>
    </row>
    <row r="522" spans="2:19" x14ac:dyDescent="0.35">
      <c r="B522" s="1">
        <v>3572</v>
      </c>
      <c r="C522" s="1" t="s">
        <v>22</v>
      </c>
      <c r="D522" s="1" t="s">
        <v>20</v>
      </c>
      <c r="E522" s="1">
        <v>1</v>
      </c>
      <c r="F522" s="28">
        <v>0</v>
      </c>
      <c r="G522" s="28">
        <v>0</v>
      </c>
      <c r="H522" s="1">
        <v>8</v>
      </c>
      <c r="I522" s="1">
        <v>0</v>
      </c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1</v>
      </c>
      <c r="R522" s="1">
        <v>0</v>
      </c>
      <c r="S522" s="1">
        <v>0</v>
      </c>
    </row>
    <row r="523" spans="2:19" x14ac:dyDescent="0.35">
      <c r="B523" s="1">
        <v>3573</v>
      </c>
      <c r="C523" s="1" t="s">
        <v>22</v>
      </c>
      <c r="D523" s="1" t="s">
        <v>18</v>
      </c>
      <c r="E523" s="1">
        <v>0</v>
      </c>
      <c r="F523" s="28">
        <v>0</v>
      </c>
      <c r="G523" s="28">
        <v>0</v>
      </c>
      <c r="H523" s="1">
        <v>7</v>
      </c>
      <c r="I523" s="1">
        <v>0</v>
      </c>
      <c r="J523" s="1">
        <v>1</v>
      </c>
      <c r="K523" s="1">
        <v>0</v>
      </c>
      <c r="L523" s="1">
        <v>0</v>
      </c>
      <c r="M523" s="1">
        <v>0</v>
      </c>
      <c r="N523" s="1">
        <v>2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</row>
    <row r="524" spans="2:19" x14ac:dyDescent="0.35">
      <c r="B524" s="1">
        <v>3574</v>
      </c>
      <c r="C524" s="1" t="s">
        <v>19</v>
      </c>
      <c r="D524" s="1" t="s">
        <v>18</v>
      </c>
      <c r="E524" s="1">
        <v>0</v>
      </c>
      <c r="F524" s="28">
        <v>2</v>
      </c>
      <c r="G524" s="28">
        <v>0</v>
      </c>
      <c r="H524" s="1">
        <v>7</v>
      </c>
      <c r="I524" s="1">
        <v>0</v>
      </c>
      <c r="J524" s="1">
        <v>1</v>
      </c>
      <c r="K524" s="1">
        <v>0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</row>
    <row r="525" spans="2:19" x14ac:dyDescent="0.35">
      <c r="B525" s="1">
        <v>3575</v>
      </c>
      <c r="C525" s="1" t="s">
        <v>23</v>
      </c>
      <c r="D525" s="1" t="s">
        <v>20</v>
      </c>
      <c r="E525" s="1">
        <v>1</v>
      </c>
      <c r="F525" s="28">
        <v>1</v>
      </c>
      <c r="G525" s="28">
        <v>0</v>
      </c>
      <c r="H525" s="1">
        <v>8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</v>
      </c>
    </row>
    <row r="526" spans="2:19" x14ac:dyDescent="0.35">
      <c r="B526" s="1">
        <v>3576</v>
      </c>
      <c r="C526" s="1" t="s">
        <v>17</v>
      </c>
      <c r="D526" s="1" t="s">
        <v>20</v>
      </c>
      <c r="E526" s="1">
        <v>0</v>
      </c>
      <c r="F526" s="28">
        <v>0</v>
      </c>
      <c r="G526" s="28">
        <v>0</v>
      </c>
      <c r="H526" s="1">
        <v>8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1</v>
      </c>
      <c r="P526" s="1">
        <v>0</v>
      </c>
      <c r="Q526" s="1">
        <v>0</v>
      </c>
      <c r="R526" s="1">
        <v>0</v>
      </c>
      <c r="S526" s="1">
        <v>1</v>
      </c>
    </row>
    <row r="527" spans="2:19" x14ac:dyDescent="0.35">
      <c r="B527" s="1">
        <v>3577</v>
      </c>
      <c r="C527" s="1" t="s">
        <v>22</v>
      </c>
      <c r="D527" s="1" t="s">
        <v>20</v>
      </c>
      <c r="E527" s="1">
        <v>0</v>
      </c>
      <c r="F527" s="28">
        <v>3</v>
      </c>
      <c r="G527" s="28">
        <v>0</v>
      </c>
      <c r="H527" s="1">
        <v>5</v>
      </c>
      <c r="I527" s="1">
        <v>0</v>
      </c>
      <c r="J527" s="1">
        <v>2</v>
      </c>
      <c r="K527" s="1">
        <v>0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</row>
    <row r="528" spans="2:19" x14ac:dyDescent="0.35">
      <c r="B528" s="1">
        <v>3578</v>
      </c>
      <c r="C528" s="1" t="s">
        <v>17</v>
      </c>
      <c r="D528" s="1" t="s">
        <v>20</v>
      </c>
      <c r="E528" s="1">
        <v>2</v>
      </c>
      <c r="F528" s="28">
        <v>2</v>
      </c>
      <c r="G528" s="28">
        <v>0</v>
      </c>
      <c r="H528" s="1">
        <v>6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</row>
    <row r="529" spans="2:19" x14ac:dyDescent="0.35">
      <c r="B529" s="1">
        <v>3579</v>
      </c>
      <c r="C529" s="1" t="s">
        <v>21</v>
      </c>
      <c r="D529" s="1" t="s">
        <v>20</v>
      </c>
      <c r="E529" s="1">
        <v>3</v>
      </c>
      <c r="F529" s="28">
        <v>2</v>
      </c>
      <c r="G529" s="28">
        <v>0</v>
      </c>
      <c r="H529" s="1">
        <v>5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</row>
    <row r="530" spans="2:19" x14ac:dyDescent="0.35">
      <c r="B530" s="1">
        <v>3580</v>
      </c>
      <c r="C530" s="1" t="s">
        <v>17</v>
      </c>
      <c r="D530" s="1" t="s">
        <v>20</v>
      </c>
      <c r="E530" s="1">
        <v>0</v>
      </c>
      <c r="F530" s="28">
        <v>1</v>
      </c>
      <c r="G530" s="28">
        <v>0</v>
      </c>
      <c r="H530" s="1">
        <v>0</v>
      </c>
      <c r="I530" s="1">
        <v>7</v>
      </c>
      <c r="J530" s="1">
        <v>2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</row>
    <row r="531" spans="2:19" x14ac:dyDescent="0.35">
      <c r="B531" s="1">
        <v>3581</v>
      </c>
      <c r="C531" s="1" t="s">
        <v>17</v>
      </c>
      <c r="D531" s="1" t="s">
        <v>18</v>
      </c>
      <c r="E531" s="1">
        <v>0</v>
      </c>
      <c r="F531" s="28">
        <v>0</v>
      </c>
      <c r="G531" s="28">
        <v>0</v>
      </c>
      <c r="H531" s="1">
        <v>0</v>
      </c>
      <c r="I531" s="1">
        <v>8</v>
      </c>
      <c r="J531" s="1">
        <v>1</v>
      </c>
      <c r="K531" s="1">
        <v>0</v>
      </c>
      <c r="L531" s="1">
        <v>1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</row>
    <row r="532" spans="2:19" x14ac:dyDescent="0.35">
      <c r="B532" s="1">
        <v>3582</v>
      </c>
      <c r="C532" s="1" t="s">
        <v>25</v>
      </c>
      <c r="D532" s="1" t="s">
        <v>18</v>
      </c>
      <c r="E532" s="1">
        <v>1</v>
      </c>
      <c r="F532" s="28">
        <v>0</v>
      </c>
      <c r="G532" s="28">
        <v>0</v>
      </c>
      <c r="H532" s="1">
        <v>0</v>
      </c>
      <c r="I532" s="1">
        <v>7</v>
      </c>
      <c r="J532" s="1">
        <v>2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</row>
    <row r="533" spans="2:19" x14ac:dyDescent="0.35">
      <c r="B533" s="1">
        <v>3583</v>
      </c>
      <c r="C533" s="1" t="s">
        <v>19</v>
      </c>
      <c r="D533" s="1" t="s">
        <v>20</v>
      </c>
      <c r="E533" s="1">
        <v>0</v>
      </c>
      <c r="F533" s="28">
        <v>0</v>
      </c>
      <c r="G533" s="28">
        <v>0</v>
      </c>
      <c r="H533" s="1">
        <v>0</v>
      </c>
      <c r="I533" s="1">
        <v>8</v>
      </c>
      <c r="J533" s="1">
        <v>1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1</v>
      </c>
    </row>
    <row r="534" spans="2:19" x14ac:dyDescent="0.35">
      <c r="B534" s="1">
        <v>3584</v>
      </c>
      <c r="C534" s="1" t="s">
        <v>17</v>
      </c>
      <c r="D534" s="1" t="s">
        <v>18</v>
      </c>
      <c r="E534" s="1">
        <v>0</v>
      </c>
      <c r="F534" s="28">
        <v>0</v>
      </c>
      <c r="G534" s="28">
        <v>0</v>
      </c>
      <c r="H534" s="1">
        <v>0</v>
      </c>
      <c r="I534" s="1">
        <v>8</v>
      </c>
      <c r="J534" s="1">
        <v>1</v>
      </c>
      <c r="K534" s="1">
        <v>0</v>
      </c>
      <c r="L534" s="1">
        <v>0</v>
      </c>
      <c r="M534" s="1">
        <v>0</v>
      </c>
      <c r="N534" s="1">
        <v>1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</row>
    <row r="535" spans="2:19" x14ac:dyDescent="0.35">
      <c r="B535" s="1">
        <v>3585</v>
      </c>
      <c r="C535" s="1" t="s">
        <v>22</v>
      </c>
      <c r="D535" s="1" t="s">
        <v>18</v>
      </c>
      <c r="E535" s="1">
        <v>0</v>
      </c>
      <c r="F535" s="28">
        <v>0</v>
      </c>
      <c r="G535" s="28">
        <v>0</v>
      </c>
      <c r="H535" s="1">
        <v>0</v>
      </c>
      <c r="I535" s="1">
        <v>6</v>
      </c>
      <c r="J535" s="1">
        <v>2</v>
      </c>
      <c r="K535" s="1">
        <v>0</v>
      </c>
      <c r="L535" s="1">
        <v>0</v>
      </c>
      <c r="M535" s="1">
        <v>2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</row>
    <row r="536" spans="2:19" x14ac:dyDescent="0.35">
      <c r="B536" s="1">
        <v>3586</v>
      </c>
      <c r="C536" s="1" t="s">
        <v>17</v>
      </c>
      <c r="D536" s="1" t="s">
        <v>18</v>
      </c>
      <c r="E536" s="1">
        <v>0</v>
      </c>
      <c r="F536" s="28">
        <v>0</v>
      </c>
      <c r="G536" s="28">
        <v>0</v>
      </c>
      <c r="H536" s="1">
        <v>0</v>
      </c>
      <c r="I536" s="1">
        <v>5</v>
      </c>
      <c r="J536" s="1">
        <v>4</v>
      </c>
      <c r="K536" s="1">
        <v>0</v>
      </c>
      <c r="L536" s="1">
        <v>0</v>
      </c>
      <c r="M536" s="1">
        <v>0</v>
      </c>
      <c r="N536" s="1">
        <v>0</v>
      </c>
      <c r="O536" s="1">
        <v>1</v>
      </c>
      <c r="P536" s="1">
        <v>0</v>
      </c>
      <c r="Q536" s="1">
        <v>0</v>
      </c>
      <c r="R536" s="1">
        <v>0</v>
      </c>
      <c r="S536" s="1">
        <v>0</v>
      </c>
    </row>
    <row r="537" spans="2:19" x14ac:dyDescent="0.35">
      <c r="B537" s="1">
        <v>3587</v>
      </c>
      <c r="C537" s="1" t="s">
        <v>25</v>
      </c>
      <c r="D537" s="1" t="s">
        <v>18</v>
      </c>
      <c r="E537" s="1">
        <v>0</v>
      </c>
      <c r="F537" s="28">
        <v>0</v>
      </c>
      <c r="G537" s="28">
        <v>0</v>
      </c>
      <c r="H537" s="1">
        <v>0</v>
      </c>
      <c r="I537" s="1">
        <v>7</v>
      </c>
      <c r="J537" s="1">
        <v>2</v>
      </c>
      <c r="K537" s="1">
        <v>0</v>
      </c>
      <c r="L537" s="1">
        <v>0</v>
      </c>
      <c r="M537" s="1">
        <v>0</v>
      </c>
      <c r="N537" s="1">
        <v>0</v>
      </c>
      <c r="O537" s="1">
        <v>1</v>
      </c>
      <c r="P537" s="1">
        <v>0</v>
      </c>
      <c r="Q537" s="1">
        <v>0</v>
      </c>
      <c r="R537" s="1">
        <v>0</v>
      </c>
      <c r="S537" s="1">
        <v>0</v>
      </c>
    </row>
    <row r="538" spans="2:19" x14ac:dyDescent="0.35">
      <c r="B538" s="1">
        <v>3588</v>
      </c>
      <c r="C538" s="1" t="s">
        <v>19</v>
      </c>
      <c r="D538" s="1" t="s">
        <v>18</v>
      </c>
      <c r="E538" s="1">
        <v>0</v>
      </c>
      <c r="F538" s="28">
        <v>0</v>
      </c>
      <c r="G538" s="28">
        <v>0</v>
      </c>
      <c r="H538" s="1">
        <v>0</v>
      </c>
      <c r="I538" s="1">
        <v>7</v>
      </c>
      <c r="J538" s="1">
        <v>2</v>
      </c>
      <c r="K538" s="1">
        <v>0</v>
      </c>
      <c r="L538" s="1">
        <v>0</v>
      </c>
      <c r="M538" s="1">
        <v>1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0</v>
      </c>
    </row>
    <row r="539" spans="2:19" x14ac:dyDescent="0.35">
      <c r="B539" s="1">
        <v>3589</v>
      </c>
      <c r="C539" s="1" t="s">
        <v>17</v>
      </c>
      <c r="D539" s="1" t="s">
        <v>20</v>
      </c>
      <c r="E539" s="1">
        <v>0</v>
      </c>
      <c r="F539" s="28">
        <v>0</v>
      </c>
      <c r="G539" s="28">
        <v>0</v>
      </c>
      <c r="H539" s="1">
        <v>0</v>
      </c>
      <c r="I539" s="1">
        <v>8</v>
      </c>
      <c r="J539" s="1">
        <v>2</v>
      </c>
      <c r="K539" s="1">
        <v>0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</row>
    <row r="540" spans="2:19" x14ac:dyDescent="0.35">
      <c r="B540" s="1">
        <v>3590</v>
      </c>
      <c r="C540" s="1" t="s">
        <v>17</v>
      </c>
      <c r="D540" s="1" t="s">
        <v>18</v>
      </c>
      <c r="E540" s="1">
        <v>0</v>
      </c>
      <c r="F540" s="28">
        <v>0</v>
      </c>
      <c r="G540" s="28">
        <v>0</v>
      </c>
      <c r="H540" s="1">
        <v>0</v>
      </c>
      <c r="I540" s="1">
        <v>7</v>
      </c>
      <c r="J540" s="1">
        <v>2</v>
      </c>
      <c r="K540" s="1">
        <v>0</v>
      </c>
      <c r="L540" s="1">
        <v>1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</v>
      </c>
    </row>
    <row r="541" spans="2:19" x14ac:dyDescent="0.35">
      <c r="B541" s="1">
        <v>3591</v>
      </c>
      <c r="C541" s="1" t="s">
        <v>17</v>
      </c>
      <c r="D541" s="1" t="s">
        <v>20</v>
      </c>
      <c r="E541" s="1">
        <v>0</v>
      </c>
      <c r="F541" s="28">
        <v>0</v>
      </c>
      <c r="G541" s="28">
        <v>0</v>
      </c>
      <c r="H541" s="1">
        <v>0</v>
      </c>
      <c r="I541" s="1">
        <v>8</v>
      </c>
      <c r="J541" s="1">
        <v>1</v>
      </c>
      <c r="K541" s="1">
        <v>1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</v>
      </c>
    </row>
    <row r="542" spans="2:19" x14ac:dyDescent="0.35">
      <c r="B542" s="1">
        <v>3592</v>
      </c>
      <c r="C542" s="1" t="s">
        <v>19</v>
      </c>
      <c r="D542" s="1" t="s">
        <v>20</v>
      </c>
      <c r="E542" s="1">
        <v>0</v>
      </c>
      <c r="F542" s="28">
        <v>0</v>
      </c>
      <c r="G542" s="28">
        <v>0</v>
      </c>
      <c r="H542" s="1">
        <v>0</v>
      </c>
      <c r="I542" s="1">
        <v>5</v>
      </c>
      <c r="J542" s="1">
        <v>5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</row>
    <row r="543" spans="2:19" x14ac:dyDescent="0.35">
      <c r="B543" s="1">
        <v>3593</v>
      </c>
      <c r="C543" s="1" t="s">
        <v>19</v>
      </c>
      <c r="D543" s="1" t="s">
        <v>20</v>
      </c>
      <c r="E543" s="1">
        <v>0</v>
      </c>
      <c r="F543" s="28">
        <v>0</v>
      </c>
      <c r="G543" s="28">
        <v>0</v>
      </c>
      <c r="H543" s="1">
        <v>0</v>
      </c>
      <c r="I543" s="1">
        <v>5</v>
      </c>
      <c r="J543" s="1">
        <v>3</v>
      </c>
      <c r="K543" s="1">
        <v>0</v>
      </c>
      <c r="L543" s="1">
        <v>0</v>
      </c>
      <c r="M543" s="1">
        <v>0</v>
      </c>
      <c r="N543" s="1">
        <v>2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</row>
    <row r="544" spans="2:19" x14ac:dyDescent="0.35">
      <c r="B544" s="1">
        <v>3594</v>
      </c>
      <c r="C544" s="1" t="s">
        <v>19</v>
      </c>
      <c r="D544" s="1" t="s">
        <v>20</v>
      </c>
      <c r="E544" s="1">
        <v>0</v>
      </c>
      <c r="F544" s="28">
        <v>0</v>
      </c>
      <c r="G544" s="28">
        <v>0</v>
      </c>
      <c r="H544" s="1">
        <v>1</v>
      </c>
      <c r="I544" s="1">
        <v>7</v>
      </c>
      <c r="J544" s="1">
        <v>2</v>
      </c>
      <c r="K544" s="1">
        <v>0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</row>
    <row r="545" spans="2:19" x14ac:dyDescent="0.35">
      <c r="B545" s="1">
        <v>3595</v>
      </c>
      <c r="C545" s="1" t="s">
        <v>17</v>
      </c>
      <c r="D545" s="1" t="s">
        <v>20</v>
      </c>
      <c r="E545" s="1">
        <v>0</v>
      </c>
      <c r="F545" s="28">
        <v>1</v>
      </c>
      <c r="G545" s="28">
        <v>0</v>
      </c>
      <c r="H545" s="1">
        <v>0</v>
      </c>
      <c r="I545" s="1">
        <v>8</v>
      </c>
      <c r="J545" s="1">
        <v>1</v>
      </c>
      <c r="K545" s="1">
        <v>0</v>
      </c>
      <c r="L545" s="1">
        <v>0</v>
      </c>
      <c r="M545" s="1">
        <v>0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0</v>
      </c>
    </row>
    <row r="546" spans="2:19" x14ac:dyDescent="0.35">
      <c r="B546" s="1">
        <v>3596</v>
      </c>
      <c r="C546" s="1" t="s">
        <v>22</v>
      </c>
      <c r="D546" s="1" t="s">
        <v>18</v>
      </c>
      <c r="E546" s="1">
        <v>0</v>
      </c>
      <c r="F546" s="28">
        <v>0</v>
      </c>
      <c r="G546" s="28">
        <v>0</v>
      </c>
      <c r="H546" s="1">
        <v>1</v>
      </c>
      <c r="I546" s="1">
        <v>7</v>
      </c>
      <c r="J546" s="1">
        <v>2</v>
      </c>
      <c r="K546" s="1">
        <v>0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</row>
    <row r="547" spans="2:19" x14ac:dyDescent="0.35">
      <c r="B547" s="1">
        <v>3597</v>
      </c>
      <c r="C547" s="1" t="s">
        <v>17</v>
      </c>
      <c r="D547" s="1" t="s">
        <v>20</v>
      </c>
      <c r="E547" s="1">
        <v>0</v>
      </c>
      <c r="F547" s="28">
        <v>0</v>
      </c>
      <c r="G547" s="28">
        <v>0</v>
      </c>
      <c r="H547" s="1">
        <v>0</v>
      </c>
      <c r="I547" s="1">
        <v>9</v>
      </c>
      <c r="J547" s="1">
        <v>1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</row>
    <row r="548" spans="2:19" x14ac:dyDescent="0.35">
      <c r="B548" s="1">
        <v>3598</v>
      </c>
      <c r="C548" s="1" t="s">
        <v>17</v>
      </c>
      <c r="D548" s="1" t="s">
        <v>20</v>
      </c>
      <c r="E548" s="1">
        <v>0</v>
      </c>
      <c r="F548" s="28">
        <v>0</v>
      </c>
      <c r="G548" s="28">
        <v>0</v>
      </c>
      <c r="H548" s="1">
        <v>0</v>
      </c>
      <c r="I548" s="1">
        <v>8</v>
      </c>
      <c r="J548" s="1">
        <v>1</v>
      </c>
      <c r="K548" s="1">
        <v>0</v>
      </c>
      <c r="L548" s="1">
        <v>0</v>
      </c>
      <c r="M548" s="1">
        <v>1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</row>
    <row r="549" spans="2:19" x14ac:dyDescent="0.35">
      <c r="B549" s="1">
        <v>3599</v>
      </c>
      <c r="C549" s="1" t="s">
        <v>22</v>
      </c>
      <c r="D549" s="1" t="s">
        <v>18</v>
      </c>
      <c r="E549" s="1">
        <v>0</v>
      </c>
      <c r="F549" s="28">
        <v>0</v>
      </c>
      <c r="G549" s="28">
        <v>0</v>
      </c>
      <c r="H549" s="1">
        <v>0</v>
      </c>
      <c r="I549" s="1">
        <v>7</v>
      </c>
      <c r="J549" s="1">
        <v>2</v>
      </c>
      <c r="K549" s="1">
        <v>0</v>
      </c>
      <c r="L549" s="1">
        <v>0</v>
      </c>
      <c r="M549" s="1">
        <v>0</v>
      </c>
      <c r="N549" s="1">
        <v>1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</row>
    <row r="550" spans="2:19" x14ac:dyDescent="0.35">
      <c r="B550" s="1">
        <v>3600</v>
      </c>
      <c r="C550" s="1" t="s">
        <v>19</v>
      </c>
      <c r="D550" s="1" t="s">
        <v>18</v>
      </c>
      <c r="E550" s="1">
        <v>0</v>
      </c>
      <c r="F550" s="28">
        <v>0</v>
      </c>
      <c r="G550" s="28">
        <v>0</v>
      </c>
      <c r="H550" s="1">
        <v>0</v>
      </c>
      <c r="I550" s="1">
        <v>5</v>
      </c>
      <c r="J550" s="1">
        <v>4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1</v>
      </c>
    </row>
    <row r="551" spans="2:19" x14ac:dyDescent="0.35">
      <c r="B551" s="1">
        <v>3601</v>
      </c>
      <c r="C551" s="1" t="s">
        <v>17</v>
      </c>
      <c r="D551" s="1" t="s">
        <v>18</v>
      </c>
      <c r="E551" s="1">
        <v>0</v>
      </c>
      <c r="F551" s="28">
        <v>0</v>
      </c>
      <c r="G551" s="28">
        <v>0</v>
      </c>
      <c r="H551" s="1">
        <v>0</v>
      </c>
      <c r="I551" s="1">
        <v>6</v>
      </c>
      <c r="J551" s="1">
        <v>3</v>
      </c>
      <c r="K551" s="1">
        <v>0</v>
      </c>
      <c r="L551" s="1">
        <v>1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</row>
    <row r="552" spans="2:19" x14ac:dyDescent="0.35">
      <c r="B552" s="1">
        <v>3602</v>
      </c>
      <c r="C552" s="1" t="s">
        <v>17</v>
      </c>
      <c r="D552" s="1" t="s">
        <v>18</v>
      </c>
      <c r="E552" s="1">
        <v>0</v>
      </c>
      <c r="F552" s="28">
        <v>0</v>
      </c>
      <c r="G552" s="28">
        <v>0</v>
      </c>
      <c r="H552" s="1">
        <v>0</v>
      </c>
      <c r="I552" s="1">
        <v>5</v>
      </c>
      <c r="J552" s="1">
        <v>3</v>
      </c>
      <c r="K552" s="1">
        <v>0</v>
      </c>
      <c r="L552" s="1">
        <v>0</v>
      </c>
      <c r="M552" s="1">
        <v>2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</row>
    <row r="553" spans="2:19" x14ac:dyDescent="0.35">
      <c r="B553" s="1">
        <v>3603</v>
      </c>
      <c r="C553" s="1" t="s">
        <v>24</v>
      </c>
      <c r="D553" s="1" t="s">
        <v>18</v>
      </c>
      <c r="E553" s="1">
        <v>0</v>
      </c>
      <c r="F553" s="28">
        <v>0</v>
      </c>
      <c r="G553" s="28">
        <v>0</v>
      </c>
      <c r="H553" s="1">
        <v>0</v>
      </c>
      <c r="I553" s="1">
        <v>7</v>
      </c>
      <c r="J553" s="1">
        <v>2</v>
      </c>
      <c r="K553" s="1">
        <v>0</v>
      </c>
      <c r="L553" s="1">
        <v>0</v>
      </c>
      <c r="M553" s="1">
        <v>0</v>
      </c>
      <c r="N553" s="1">
        <v>0</v>
      </c>
      <c r="O553" s="1">
        <v>1</v>
      </c>
      <c r="P553" s="1">
        <v>0</v>
      </c>
      <c r="Q553" s="1">
        <v>0</v>
      </c>
      <c r="R553" s="1">
        <v>0</v>
      </c>
      <c r="S553" s="1">
        <v>0</v>
      </c>
    </row>
    <row r="554" spans="2:19" x14ac:dyDescent="0.35">
      <c r="B554" s="1">
        <v>3604</v>
      </c>
      <c r="C554" s="1" t="s">
        <v>19</v>
      </c>
      <c r="D554" s="1" t="s">
        <v>18</v>
      </c>
      <c r="E554" s="1">
        <v>0</v>
      </c>
      <c r="F554" s="28">
        <v>0</v>
      </c>
      <c r="G554" s="28">
        <v>0</v>
      </c>
      <c r="H554" s="1">
        <v>0</v>
      </c>
      <c r="I554" s="1">
        <v>8</v>
      </c>
      <c r="J554" s="1">
        <v>1</v>
      </c>
      <c r="K554" s="1">
        <v>0</v>
      </c>
      <c r="L554" s="1">
        <v>0</v>
      </c>
      <c r="M554" s="1">
        <v>0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1">
        <v>1</v>
      </c>
    </row>
    <row r="555" spans="2:19" x14ac:dyDescent="0.35">
      <c r="B555" s="1">
        <v>3605</v>
      </c>
      <c r="C555" s="1" t="s">
        <v>17</v>
      </c>
      <c r="D555" s="1" t="s">
        <v>20</v>
      </c>
      <c r="E555" s="1">
        <v>0</v>
      </c>
      <c r="F555" s="28">
        <v>0</v>
      </c>
      <c r="G555" s="28">
        <v>0</v>
      </c>
      <c r="H555" s="1">
        <v>0</v>
      </c>
      <c r="I555" s="1">
        <v>8</v>
      </c>
      <c r="J555" s="1">
        <v>1</v>
      </c>
      <c r="K555" s="1">
        <v>0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1</v>
      </c>
    </row>
    <row r="556" spans="2:19" x14ac:dyDescent="0.35">
      <c r="B556" s="1">
        <v>3606</v>
      </c>
      <c r="C556" s="1" t="s">
        <v>19</v>
      </c>
      <c r="D556" s="1" t="s">
        <v>20</v>
      </c>
      <c r="E556" s="1">
        <v>0</v>
      </c>
      <c r="F556" s="28">
        <v>0</v>
      </c>
      <c r="G556" s="28">
        <v>0</v>
      </c>
      <c r="H556" s="1">
        <v>0</v>
      </c>
      <c r="I556" s="1">
        <v>8</v>
      </c>
      <c r="J556" s="1">
        <v>1</v>
      </c>
      <c r="K556" s="1">
        <v>0</v>
      </c>
      <c r="L556" s="1">
        <v>0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1</v>
      </c>
    </row>
    <row r="557" spans="2:19" x14ac:dyDescent="0.35">
      <c r="B557" s="1">
        <v>3607</v>
      </c>
      <c r="C557" s="1" t="s">
        <v>17</v>
      </c>
      <c r="D557" s="1" t="s">
        <v>18</v>
      </c>
      <c r="E557" s="1">
        <v>0</v>
      </c>
      <c r="F557" s="28">
        <v>0</v>
      </c>
      <c r="G557" s="28">
        <v>0</v>
      </c>
      <c r="H557" s="1">
        <v>0</v>
      </c>
      <c r="I557" s="1">
        <v>6</v>
      </c>
      <c r="J557" s="1">
        <v>3</v>
      </c>
      <c r="K557" s="1">
        <v>0</v>
      </c>
      <c r="L557" s="1">
        <v>1</v>
      </c>
      <c r="M557" s="1">
        <v>0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</row>
    <row r="558" spans="2:19" x14ac:dyDescent="0.35">
      <c r="B558" s="1">
        <v>3608</v>
      </c>
      <c r="C558" s="1" t="s">
        <v>19</v>
      </c>
      <c r="D558" s="1" t="s">
        <v>18</v>
      </c>
      <c r="E558" s="1">
        <v>0</v>
      </c>
      <c r="F558" s="28">
        <v>0</v>
      </c>
      <c r="G558" s="28">
        <v>0</v>
      </c>
      <c r="H558" s="1">
        <v>0</v>
      </c>
      <c r="I558" s="1">
        <v>6</v>
      </c>
      <c r="J558" s="1">
        <v>2</v>
      </c>
      <c r="K558" s="1">
        <v>0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2</v>
      </c>
    </row>
    <row r="559" spans="2:19" x14ac:dyDescent="0.35">
      <c r="B559" s="1">
        <v>3609</v>
      </c>
      <c r="C559" s="1" t="s">
        <v>24</v>
      </c>
      <c r="D559" s="1" t="s">
        <v>18</v>
      </c>
      <c r="E559" s="1">
        <v>0</v>
      </c>
      <c r="F559" s="28">
        <v>0</v>
      </c>
      <c r="G559" s="28">
        <v>0</v>
      </c>
      <c r="H559" s="1">
        <v>0</v>
      </c>
      <c r="I559" s="1">
        <v>8</v>
      </c>
      <c r="J559" s="1">
        <v>1</v>
      </c>
      <c r="K559" s="1">
        <v>0</v>
      </c>
      <c r="L559" s="1">
        <v>0</v>
      </c>
      <c r="M559" s="1">
        <v>1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</row>
    <row r="560" spans="2:19" x14ac:dyDescent="0.35">
      <c r="B560" s="1">
        <v>3610</v>
      </c>
      <c r="C560" s="1" t="s">
        <v>19</v>
      </c>
      <c r="D560" s="1" t="s">
        <v>20</v>
      </c>
      <c r="E560" s="1">
        <v>0</v>
      </c>
      <c r="F560" s="28">
        <v>0</v>
      </c>
      <c r="G560" s="28">
        <v>0</v>
      </c>
      <c r="H560" s="1">
        <v>0</v>
      </c>
      <c r="I560" s="1">
        <v>5</v>
      </c>
      <c r="J560" s="1">
        <v>3</v>
      </c>
      <c r="K560" s="1">
        <v>2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</row>
    <row r="561" spans="2:19" x14ac:dyDescent="0.35">
      <c r="B561" s="1">
        <v>3611</v>
      </c>
      <c r="C561" s="1" t="s">
        <v>25</v>
      </c>
      <c r="D561" s="1" t="s">
        <v>20</v>
      </c>
      <c r="E561" s="1">
        <v>0</v>
      </c>
      <c r="F561" s="28">
        <v>0</v>
      </c>
      <c r="G561" s="28">
        <v>0</v>
      </c>
      <c r="H561" s="1">
        <v>0</v>
      </c>
      <c r="I561" s="1">
        <v>8</v>
      </c>
      <c r="J561" s="1">
        <v>1</v>
      </c>
      <c r="K561" s="1">
        <v>0</v>
      </c>
      <c r="L561" s="1">
        <v>0</v>
      </c>
      <c r="M561" s="1">
        <v>0</v>
      </c>
      <c r="N561" s="1">
        <v>0</v>
      </c>
      <c r="O561" s="1">
        <v>0</v>
      </c>
      <c r="P561" s="1">
        <v>1</v>
      </c>
      <c r="Q561" s="1">
        <v>0</v>
      </c>
      <c r="R561" s="1">
        <v>0</v>
      </c>
      <c r="S561" s="1">
        <v>0</v>
      </c>
    </row>
    <row r="562" spans="2:19" x14ac:dyDescent="0.35">
      <c r="B562" s="1">
        <v>3612</v>
      </c>
      <c r="C562" s="1" t="s">
        <v>17</v>
      </c>
      <c r="D562" s="1" t="s">
        <v>18</v>
      </c>
      <c r="E562" s="1">
        <v>0</v>
      </c>
      <c r="F562" s="28">
        <v>0</v>
      </c>
      <c r="G562" s="28">
        <v>0</v>
      </c>
      <c r="H562" s="1">
        <v>0</v>
      </c>
      <c r="I562" s="1">
        <v>5</v>
      </c>
      <c r="J562" s="1">
        <v>4</v>
      </c>
      <c r="K562" s="1">
        <v>0</v>
      </c>
      <c r="L562" s="1">
        <v>0</v>
      </c>
      <c r="M562" s="1">
        <v>0</v>
      </c>
      <c r="N562" s="1">
        <v>1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</row>
    <row r="563" spans="2:19" x14ac:dyDescent="0.35">
      <c r="B563" s="1">
        <v>3613</v>
      </c>
      <c r="C563" s="1" t="s">
        <v>17</v>
      </c>
      <c r="D563" s="1" t="s">
        <v>18</v>
      </c>
      <c r="E563" s="1">
        <v>0</v>
      </c>
      <c r="F563" s="28">
        <v>1</v>
      </c>
      <c r="G563" s="28">
        <v>0</v>
      </c>
      <c r="H563" s="1">
        <v>0</v>
      </c>
      <c r="I563" s="1">
        <v>7</v>
      </c>
      <c r="J563" s="1">
        <v>2</v>
      </c>
      <c r="K563" s="1">
        <v>0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0</v>
      </c>
    </row>
    <row r="564" spans="2:19" x14ac:dyDescent="0.35">
      <c r="B564" s="1">
        <v>3614</v>
      </c>
      <c r="C564" s="1" t="s">
        <v>17</v>
      </c>
      <c r="D564" s="1" t="s">
        <v>18</v>
      </c>
      <c r="E564" s="1">
        <v>0</v>
      </c>
      <c r="F564" s="28">
        <v>0</v>
      </c>
      <c r="G564" s="28">
        <v>0</v>
      </c>
      <c r="H564" s="1">
        <v>0</v>
      </c>
      <c r="I564" s="1">
        <v>6</v>
      </c>
      <c r="J564" s="1">
        <v>2</v>
      </c>
      <c r="K564" s="1">
        <v>0</v>
      </c>
      <c r="L564" s="1">
        <v>0</v>
      </c>
      <c r="M564" s="1">
        <v>0</v>
      </c>
      <c r="N564" s="1">
        <v>2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</row>
    <row r="565" spans="2:19" x14ac:dyDescent="0.35">
      <c r="B565" s="1">
        <v>3615</v>
      </c>
      <c r="C565" s="1" t="s">
        <v>17</v>
      </c>
      <c r="D565" s="1" t="s">
        <v>20</v>
      </c>
      <c r="E565" s="1">
        <v>0</v>
      </c>
      <c r="F565" s="28">
        <v>0</v>
      </c>
      <c r="G565" s="28">
        <v>0</v>
      </c>
      <c r="H565" s="1">
        <v>0</v>
      </c>
      <c r="I565" s="1">
        <v>7</v>
      </c>
      <c r="J565" s="1">
        <v>2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1</v>
      </c>
    </row>
    <row r="566" spans="2:19" x14ac:dyDescent="0.35">
      <c r="B566" s="1">
        <v>3616</v>
      </c>
      <c r="C566" s="1" t="s">
        <v>19</v>
      </c>
      <c r="D566" s="1" t="s">
        <v>18</v>
      </c>
      <c r="E566" s="1">
        <v>0</v>
      </c>
      <c r="F566" s="28">
        <v>0</v>
      </c>
      <c r="G566" s="28">
        <v>0</v>
      </c>
      <c r="H566" s="1">
        <v>0</v>
      </c>
      <c r="I566" s="1">
        <v>5</v>
      </c>
      <c r="J566" s="1">
        <v>3</v>
      </c>
      <c r="K566" s="1">
        <v>2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0</v>
      </c>
    </row>
    <row r="567" spans="2:19" x14ac:dyDescent="0.35">
      <c r="B567" s="1">
        <v>3617</v>
      </c>
      <c r="C567" s="1" t="s">
        <v>23</v>
      </c>
      <c r="D567" s="1" t="s">
        <v>18</v>
      </c>
      <c r="E567" s="1">
        <v>0</v>
      </c>
      <c r="F567" s="28">
        <v>0</v>
      </c>
      <c r="G567" s="28">
        <v>0</v>
      </c>
      <c r="H567" s="1">
        <v>0</v>
      </c>
      <c r="I567" s="1">
        <v>8</v>
      </c>
      <c r="J567" s="1">
        <v>1</v>
      </c>
      <c r="K567" s="1">
        <v>0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1</v>
      </c>
    </row>
    <row r="568" spans="2:19" x14ac:dyDescent="0.35">
      <c r="B568" s="1">
        <v>3618</v>
      </c>
      <c r="C568" s="1" t="s">
        <v>17</v>
      </c>
      <c r="D568" s="1" t="s">
        <v>20</v>
      </c>
      <c r="E568" s="1">
        <v>0</v>
      </c>
      <c r="F568" s="28">
        <v>0</v>
      </c>
      <c r="G568" s="28">
        <v>0</v>
      </c>
      <c r="H568" s="1">
        <v>0</v>
      </c>
      <c r="I568" s="1">
        <v>5</v>
      </c>
      <c r="J568" s="1">
        <v>4</v>
      </c>
      <c r="K568" s="1">
        <v>0</v>
      </c>
      <c r="L568" s="1">
        <v>1</v>
      </c>
      <c r="M568" s="1">
        <v>0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</v>
      </c>
    </row>
    <row r="569" spans="2:19" x14ac:dyDescent="0.35">
      <c r="B569" s="1">
        <v>3619</v>
      </c>
      <c r="C569" s="1" t="s">
        <v>21</v>
      </c>
      <c r="D569" s="1" t="s">
        <v>20</v>
      </c>
      <c r="E569" s="1">
        <v>0</v>
      </c>
      <c r="F569" s="28">
        <v>0</v>
      </c>
      <c r="G569" s="28">
        <v>0</v>
      </c>
      <c r="H569" s="1">
        <v>0</v>
      </c>
      <c r="I569" s="1">
        <v>8</v>
      </c>
      <c r="J569" s="1">
        <v>1</v>
      </c>
      <c r="K569" s="1">
        <v>0</v>
      </c>
      <c r="L569" s="1">
        <v>0</v>
      </c>
      <c r="M569" s="1">
        <v>1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</row>
    <row r="570" spans="2:19" x14ac:dyDescent="0.35">
      <c r="B570" s="1">
        <v>3620</v>
      </c>
      <c r="C570" s="1" t="s">
        <v>23</v>
      </c>
      <c r="D570" s="1" t="s">
        <v>20</v>
      </c>
      <c r="E570" s="1">
        <v>0</v>
      </c>
      <c r="F570" s="28">
        <v>0</v>
      </c>
      <c r="G570" s="28">
        <v>0</v>
      </c>
      <c r="H570" s="1">
        <v>0</v>
      </c>
      <c r="I570" s="1">
        <v>7</v>
      </c>
      <c r="J570" s="1">
        <v>2</v>
      </c>
      <c r="K570" s="1">
        <v>0</v>
      </c>
      <c r="L570" s="1">
        <v>0</v>
      </c>
      <c r="M570" s="1">
        <v>1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</row>
    <row r="571" spans="2:19" x14ac:dyDescent="0.35">
      <c r="B571" s="1">
        <v>3621</v>
      </c>
      <c r="C571" s="1" t="s">
        <v>17</v>
      </c>
      <c r="D571" s="1" t="s">
        <v>18</v>
      </c>
      <c r="E571" s="1">
        <v>0</v>
      </c>
      <c r="F571" s="28">
        <v>0</v>
      </c>
      <c r="G571" s="28">
        <v>0</v>
      </c>
      <c r="H571" s="1">
        <v>0</v>
      </c>
      <c r="I571" s="1">
        <v>7</v>
      </c>
      <c r="J571" s="1">
        <v>2</v>
      </c>
      <c r="K571" s="1">
        <v>0</v>
      </c>
      <c r="L571" s="1">
        <v>0</v>
      </c>
      <c r="M571" s="1">
        <v>1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0</v>
      </c>
    </row>
    <row r="572" spans="2:19" x14ac:dyDescent="0.35">
      <c r="B572" s="1">
        <v>3622</v>
      </c>
      <c r="C572" s="1" t="s">
        <v>17</v>
      </c>
      <c r="D572" s="1" t="s">
        <v>18</v>
      </c>
      <c r="E572" s="1">
        <v>0</v>
      </c>
      <c r="F572" s="28">
        <v>0</v>
      </c>
      <c r="G572" s="28">
        <v>0</v>
      </c>
      <c r="H572" s="1">
        <v>0</v>
      </c>
      <c r="I572" s="1">
        <v>6</v>
      </c>
      <c r="J572" s="1">
        <v>3</v>
      </c>
      <c r="K572" s="1">
        <v>0</v>
      </c>
      <c r="L572" s="1">
        <v>0</v>
      </c>
      <c r="M572" s="1">
        <v>0</v>
      </c>
      <c r="N572" s="1">
        <v>1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</row>
    <row r="573" spans="2:19" x14ac:dyDescent="0.35">
      <c r="B573" s="1">
        <v>3623</v>
      </c>
      <c r="C573" s="1" t="s">
        <v>23</v>
      </c>
      <c r="D573" s="1" t="s">
        <v>18</v>
      </c>
      <c r="E573" s="1">
        <v>4</v>
      </c>
      <c r="F573" s="28">
        <v>0</v>
      </c>
      <c r="G573" s="28">
        <v>0</v>
      </c>
      <c r="H573" s="1">
        <v>0</v>
      </c>
      <c r="I573" s="1">
        <v>1</v>
      </c>
      <c r="J573" s="1">
        <v>0</v>
      </c>
      <c r="K573" s="1">
        <v>0</v>
      </c>
      <c r="L573" s="1">
        <v>0</v>
      </c>
      <c r="M573" s="1">
        <v>0</v>
      </c>
      <c r="N573" s="1">
        <v>5</v>
      </c>
      <c r="O573" s="1">
        <v>0</v>
      </c>
      <c r="P573" s="1">
        <v>0</v>
      </c>
      <c r="Q573" s="1">
        <v>0</v>
      </c>
      <c r="R573" s="1">
        <v>0</v>
      </c>
      <c r="S573" s="1">
        <v>0</v>
      </c>
    </row>
    <row r="574" spans="2:19" x14ac:dyDescent="0.35">
      <c r="B574" s="1">
        <v>3624</v>
      </c>
      <c r="C574" s="1" t="s">
        <v>19</v>
      </c>
      <c r="D574" s="1" t="s">
        <v>18</v>
      </c>
      <c r="E574" s="1">
        <v>0</v>
      </c>
      <c r="F574" s="28">
        <v>3</v>
      </c>
      <c r="G574" s="28">
        <v>0</v>
      </c>
      <c r="H574" s="1">
        <v>0</v>
      </c>
      <c r="I574" s="1">
        <v>1</v>
      </c>
      <c r="J574" s="1">
        <v>0</v>
      </c>
      <c r="K574" s="1">
        <v>0</v>
      </c>
      <c r="L574" s="1">
        <v>0</v>
      </c>
      <c r="M574" s="1">
        <v>0</v>
      </c>
      <c r="N574" s="1">
        <v>6</v>
      </c>
      <c r="O574" s="1">
        <v>0</v>
      </c>
      <c r="P574" s="1">
        <v>0</v>
      </c>
      <c r="Q574" s="1">
        <v>0</v>
      </c>
      <c r="R574" s="1">
        <v>0</v>
      </c>
      <c r="S574" s="1">
        <v>0</v>
      </c>
    </row>
    <row r="575" spans="2:19" x14ac:dyDescent="0.35">
      <c r="B575" s="1">
        <v>3625</v>
      </c>
      <c r="C575" s="1" t="s">
        <v>19</v>
      </c>
      <c r="D575" s="1" t="s">
        <v>18</v>
      </c>
      <c r="E575" s="1">
        <v>0</v>
      </c>
      <c r="F575" s="28">
        <v>4</v>
      </c>
      <c r="G575" s="28">
        <v>0</v>
      </c>
      <c r="H575" s="1">
        <v>0</v>
      </c>
      <c r="I575" s="1">
        <v>0</v>
      </c>
      <c r="J575" s="1">
        <v>1</v>
      </c>
      <c r="K575" s="1">
        <v>0</v>
      </c>
      <c r="L575" s="1">
        <v>0</v>
      </c>
      <c r="M575" s="1">
        <v>0</v>
      </c>
      <c r="N575" s="1">
        <v>5</v>
      </c>
      <c r="O575" s="1">
        <v>0</v>
      </c>
      <c r="P575" s="1">
        <v>0</v>
      </c>
      <c r="Q575" s="1">
        <v>0</v>
      </c>
      <c r="R575" s="1">
        <v>0</v>
      </c>
      <c r="S575" s="1">
        <v>0</v>
      </c>
    </row>
    <row r="576" spans="2:19" x14ac:dyDescent="0.35">
      <c r="B576" s="1">
        <v>3626</v>
      </c>
      <c r="C576" s="1" t="s">
        <v>19</v>
      </c>
      <c r="D576" s="1" t="s">
        <v>18</v>
      </c>
      <c r="E576" s="1">
        <v>0</v>
      </c>
      <c r="F576" s="28">
        <v>3</v>
      </c>
      <c r="G576" s="28">
        <v>0</v>
      </c>
      <c r="H576" s="1">
        <v>0</v>
      </c>
      <c r="I576" s="1">
        <v>0</v>
      </c>
      <c r="J576" s="1">
        <v>0</v>
      </c>
      <c r="K576" s="1">
        <v>0</v>
      </c>
      <c r="L576" s="1">
        <v>1</v>
      </c>
      <c r="M576" s="1">
        <v>0</v>
      </c>
      <c r="N576" s="1">
        <v>6</v>
      </c>
      <c r="O576" s="1">
        <v>0</v>
      </c>
      <c r="P576" s="1">
        <v>0</v>
      </c>
      <c r="Q576" s="1">
        <v>0</v>
      </c>
      <c r="R576" s="1">
        <v>0</v>
      </c>
      <c r="S576" s="1">
        <v>0</v>
      </c>
    </row>
    <row r="577" spans="2:19" x14ac:dyDescent="0.35">
      <c r="B577" s="1">
        <v>3627</v>
      </c>
      <c r="C577" s="1" t="s">
        <v>22</v>
      </c>
      <c r="D577" s="1" t="s">
        <v>18</v>
      </c>
      <c r="E577" s="1">
        <v>0</v>
      </c>
      <c r="F577" s="28">
        <v>1</v>
      </c>
      <c r="G577" s="28">
        <v>0</v>
      </c>
      <c r="H577" s="1">
        <v>0</v>
      </c>
      <c r="I577" s="1">
        <v>0</v>
      </c>
      <c r="J577" s="1">
        <v>0</v>
      </c>
      <c r="K577" s="1">
        <v>0</v>
      </c>
      <c r="L577" s="1">
        <v>0</v>
      </c>
      <c r="M577" s="1">
        <v>0</v>
      </c>
      <c r="N577" s="1">
        <v>9</v>
      </c>
      <c r="O577" s="1">
        <v>0</v>
      </c>
      <c r="P577" s="1">
        <v>0</v>
      </c>
      <c r="Q577" s="1">
        <v>0</v>
      </c>
      <c r="R577" s="1">
        <v>0</v>
      </c>
      <c r="S577" s="1">
        <v>0</v>
      </c>
    </row>
    <row r="578" spans="2:19" x14ac:dyDescent="0.35">
      <c r="B578" s="1">
        <v>3628</v>
      </c>
      <c r="C578" s="1" t="s">
        <v>23</v>
      </c>
      <c r="D578" s="1" t="s">
        <v>20</v>
      </c>
      <c r="E578" s="1">
        <v>0</v>
      </c>
      <c r="F578" s="28">
        <v>2</v>
      </c>
      <c r="G578" s="28">
        <v>0</v>
      </c>
      <c r="H578" s="1">
        <v>0</v>
      </c>
      <c r="I578" s="1">
        <v>1</v>
      </c>
      <c r="J578" s="1">
        <v>0</v>
      </c>
      <c r="K578" s="1">
        <v>0</v>
      </c>
      <c r="L578" s="1">
        <v>0</v>
      </c>
      <c r="M578" s="1">
        <v>0</v>
      </c>
      <c r="N578" s="1">
        <v>7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</row>
    <row r="579" spans="2:19" x14ac:dyDescent="0.35">
      <c r="B579" s="1">
        <v>3629</v>
      </c>
      <c r="C579" s="1" t="s">
        <v>19</v>
      </c>
      <c r="D579" s="1" t="s">
        <v>20</v>
      </c>
      <c r="E579" s="1">
        <v>2</v>
      </c>
      <c r="F579" s="28">
        <v>0</v>
      </c>
      <c r="G579" s="28">
        <v>0</v>
      </c>
      <c r="H579" s="1">
        <v>1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N579" s="1">
        <v>7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</row>
    <row r="580" spans="2:19" x14ac:dyDescent="0.35">
      <c r="B580" s="1">
        <v>3630</v>
      </c>
      <c r="C580" s="1" t="s">
        <v>19</v>
      </c>
      <c r="D580" s="1" t="s">
        <v>20</v>
      </c>
      <c r="E580" s="1">
        <v>1</v>
      </c>
      <c r="F580" s="28">
        <v>3</v>
      </c>
      <c r="G580" s="28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N580" s="1">
        <v>6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</row>
    <row r="581" spans="2:19" x14ac:dyDescent="0.35">
      <c r="B581" s="1">
        <v>3631</v>
      </c>
      <c r="C581" s="1" t="s">
        <v>22</v>
      </c>
      <c r="D581" s="1" t="s">
        <v>18</v>
      </c>
      <c r="E581" s="1">
        <v>0</v>
      </c>
      <c r="F581" s="28">
        <v>4</v>
      </c>
      <c r="G581" s="28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N581" s="1">
        <v>5</v>
      </c>
      <c r="O581" s="1">
        <v>0</v>
      </c>
      <c r="P581" s="1">
        <v>1</v>
      </c>
      <c r="Q581" s="1">
        <v>0</v>
      </c>
      <c r="R581" s="1">
        <v>0</v>
      </c>
      <c r="S581" s="1">
        <v>0</v>
      </c>
    </row>
    <row r="582" spans="2:19" x14ac:dyDescent="0.35">
      <c r="B582" s="1">
        <v>3632</v>
      </c>
      <c r="C582" s="1" t="s">
        <v>17</v>
      </c>
      <c r="D582" s="1" t="s">
        <v>20</v>
      </c>
      <c r="E582" s="1">
        <v>0</v>
      </c>
      <c r="F582" s="28">
        <v>1</v>
      </c>
      <c r="G582" s="28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N582" s="1">
        <v>8</v>
      </c>
      <c r="O582" s="1">
        <v>1</v>
      </c>
      <c r="P582" s="1">
        <v>0</v>
      </c>
      <c r="Q582" s="1">
        <v>0</v>
      </c>
      <c r="R582" s="1">
        <v>0</v>
      </c>
      <c r="S582" s="1">
        <v>0</v>
      </c>
    </row>
    <row r="583" spans="2:19" x14ac:dyDescent="0.35">
      <c r="B583" s="1">
        <v>3633</v>
      </c>
      <c r="C583" s="1" t="s">
        <v>19</v>
      </c>
      <c r="D583" s="1" t="s">
        <v>20</v>
      </c>
      <c r="E583" s="1">
        <v>2</v>
      </c>
      <c r="F583" s="28">
        <v>0</v>
      </c>
      <c r="G583" s="28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  <c r="M583" s="1">
        <v>0</v>
      </c>
      <c r="N583" s="1">
        <v>7</v>
      </c>
      <c r="O583" s="1">
        <v>0</v>
      </c>
      <c r="P583" s="1">
        <v>0</v>
      </c>
      <c r="Q583" s="1">
        <v>0</v>
      </c>
      <c r="R583" s="1">
        <v>1</v>
      </c>
      <c r="S583" s="1">
        <v>0</v>
      </c>
    </row>
    <row r="584" spans="2:19" x14ac:dyDescent="0.35">
      <c r="B584" s="1">
        <v>3634</v>
      </c>
      <c r="C584" s="1" t="s">
        <v>17</v>
      </c>
      <c r="D584" s="1" t="s">
        <v>20</v>
      </c>
      <c r="E584" s="1">
        <v>0</v>
      </c>
      <c r="F584" s="28">
        <v>4</v>
      </c>
      <c r="G584" s="28">
        <v>0</v>
      </c>
      <c r="H584" s="1">
        <v>0</v>
      </c>
      <c r="I584" s="1">
        <v>1</v>
      </c>
      <c r="J584" s="1">
        <v>0</v>
      </c>
      <c r="K584" s="1">
        <v>0</v>
      </c>
      <c r="L584" s="1">
        <v>0</v>
      </c>
      <c r="M584" s="1">
        <v>0</v>
      </c>
      <c r="N584" s="1">
        <v>5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</row>
    <row r="585" spans="2:19" x14ac:dyDescent="0.35">
      <c r="B585" s="1">
        <v>3635</v>
      </c>
      <c r="C585" s="1" t="s">
        <v>19</v>
      </c>
      <c r="D585" s="1" t="s">
        <v>18</v>
      </c>
      <c r="E585" s="1">
        <v>0</v>
      </c>
      <c r="F585" s="28">
        <v>4</v>
      </c>
      <c r="G585" s="28">
        <v>0</v>
      </c>
      <c r="H585" s="1">
        <v>0</v>
      </c>
      <c r="I585" s="1">
        <v>0</v>
      </c>
      <c r="J585" s="1">
        <v>0</v>
      </c>
      <c r="K585" s="1">
        <v>0</v>
      </c>
      <c r="L585" s="1">
        <v>1</v>
      </c>
      <c r="M585" s="1">
        <v>0</v>
      </c>
      <c r="N585" s="1">
        <v>5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</row>
    <row r="586" spans="2:19" x14ac:dyDescent="0.35">
      <c r="B586" s="1">
        <v>3636</v>
      </c>
      <c r="C586" s="1" t="s">
        <v>23</v>
      </c>
      <c r="D586" s="1" t="s">
        <v>20</v>
      </c>
      <c r="E586" s="1">
        <v>0</v>
      </c>
      <c r="F586" s="28">
        <v>2</v>
      </c>
      <c r="G586" s="28">
        <v>0</v>
      </c>
      <c r="H586" s="1">
        <v>0</v>
      </c>
      <c r="I586" s="1">
        <v>0</v>
      </c>
      <c r="J586" s="1">
        <v>0</v>
      </c>
      <c r="K586" s="1">
        <v>0</v>
      </c>
      <c r="L586" s="1">
        <v>0</v>
      </c>
      <c r="M586" s="1">
        <v>0</v>
      </c>
      <c r="N586" s="1">
        <v>6</v>
      </c>
      <c r="O586" s="1">
        <v>0</v>
      </c>
      <c r="P586" s="1">
        <v>0</v>
      </c>
      <c r="Q586" s="1">
        <v>2</v>
      </c>
      <c r="R586" s="1">
        <v>0</v>
      </c>
      <c r="S586" s="1">
        <v>0</v>
      </c>
    </row>
    <row r="587" spans="2:19" x14ac:dyDescent="0.35">
      <c r="B587" s="1">
        <v>3637</v>
      </c>
      <c r="C587" s="1" t="s">
        <v>23</v>
      </c>
      <c r="D587" s="1" t="s">
        <v>18</v>
      </c>
      <c r="E587" s="1">
        <v>0</v>
      </c>
      <c r="F587" s="28">
        <v>0</v>
      </c>
      <c r="G587" s="28">
        <v>0</v>
      </c>
      <c r="H587" s="1">
        <v>0</v>
      </c>
      <c r="I587" s="1">
        <v>5</v>
      </c>
      <c r="J587" s="1">
        <v>0</v>
      </c>
      <c r="K587" s="1">
        <v>0</v>
      </c>
      <c r="L587" s="1">
        <v>1</v>
      </c>
      <c r="M587" s="1">
        <v>0</v>
      </c>
      <c r="N587" s="1">
        <v>4</v>
      </c>
      <c r="O587" s="1">
        <v>0</v>
      </c>
      <c r="P587" s="1">
        <v>0</v>
      </c>
      <c r="Q587" s="1">
        <v>0</v>
      </c>
      <c r="R587" s="1">
        <v>0</v>
      </c>
      <c r="S587" s="1">
        <v>0</v>
      </c>
    </row>
    <row r="588" spans="2:19" x14ac:dyDescent="0.35">
      <c r="B588" s="1">
        <v>3638</v>
      </c>
      <c r="C588" s="1" t="s">
        <v>22</v>
      </c>
      <c r="D588" s="1" t="s">
        <v>20</v>
      </c>
      <c r="E588" s="1">
        <v>0</v>
      </c>
      <c r="F588" s="28">
        <v>0</v>
      </c>
      <c r="G588" s="28">
        <v>9</v>
      </c>
      <c r="H588" s="1">
        <v>0</v>
      </c>
      <c r="I588" s="1">
        <v>1</v>
      </c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0</v>
      </c>
    </row>
    <row r="589" spans="2:19" x14ac:dyDescent="0.35">
      <c r="B589" s="1">
        <v>3639</v>
      </c>
      <c r="C589" s="1" t="s">
        <v>22</v>
      </c>
      <c r="D589" s="1" t="s">
        <v>18</v>
      </c>
      <c r="E589" s="1">
        <v>0</v>
      </c>
      <c r="F589" s="28">
        <v>0</v>
      </c>
      <c r="G589" s="28">
        <v>5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N589" s="1">
        <v>4</v>
      </c>
      <c r="O589" s="1">
        <v>0</v>
      </c>
      <c r="P589" s="1">
        <v>0</v>
      </c>
      <c r="Q589" s="1">
        <v>0</v>
      </c>
      <c r="R589" s="1">
        <v>0</v>
      </c>
      <c r="S589" s="1">
        <v>1</v>
      </c>
    </row>
    <row r="590" spans="2:19" x14ac:dyDescent="0.35">
      <c r="B590" s="1">
        <v>3640</v>
      </c>
      <c r="C590" s="1" t="s">
        <v>19</v>
      </c>
      <c r="D590" s="1" t="s">
        <v>20</v>
      </c>
      <c r="E590" s="1">
        <v>0</v>
      </c>
      <c r="F590" s="28">
        <v>0</v>
      </c>
      <c r="G590" s="28">
        <v>7</v>
      </c>
      <c r="H590" s="1">
        <v>0</v>
      </c>
      <c r="I590" s="1">
        <v>0</v>
      </c>
      <c r="J590" s="1">
        <v>0</v>
      </c>
      <c r="K590" s="1">
        <v>1</v>
      </c>
      <c r="L590" s="1">
        <v>0</v>
      </c>
      <c r="M590" s="1">
        <v>0</v>
      </c>
      <c r="N590" s="1">
        <v>2</v>
      </c>
      <c r="O590" s="1">
        <v>0</v>
      </c>
      <c r="P590" s="1">
        <v>0</v>
      </c>
      <c r="Q590" s="1">
        <v>0</v>
      </c>
      <c r="R590" s="1">
        <v>0</v>
      </c>
      <c r="S590" s="1">
        <v>0</v>
      </c>
    </row>
    <row r="591" spans="2:19" x14ac:dyDescent="0.35">
      <c r="B591" s="1">
        <v>3641</v>
      </c>
      <c r="C591" s="1" t="s">
        <v>22</v>
      </c>
      <c r="D591" s="1" t="s">
        <v>20</v>
      </c>
      <c r="E591" s="1">
        <v>0</v>
      </c>
      <c r="F591" s="28">
        <v>0</v>
      </c>
      <c r="G591" s="28">
        <v>8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N591" s="1">
        <v>1</v>
      </c>
      <c r="O591" s="1">
        <v>1</v>
      </c>
      <c r="P591" s="1">
        <v>0</v>
      </c>
      <c r="Q591" s="1">
        <v>0</v>
      </c>
      <c r="R591" s="1">
        <v>0</v>
      </c>
      <c r="S591" s="1">
        <v>0</v>
      </c>
    </row>
    <row r="592" spans="2:19" x14ac:dyDescent="0.35">
      <c r="B592" s="1">
        <v>3642</v>
      </c>
      <c r="C592" s="1" t="s">
        <v>19</v>
      </c>
      <c r="D592" s="1" t="s">
        <v>18</v>
      </c>
      <c r="E592" s="1">
        <v>0</v>
      </c>
      <c r="F592" s="28">
        <v>0</v>
      </c>
      <c r="G592" s="28">
        <v>7</v>
      </c>
      <c r="H592" s="1">
        <v>0</v>
      </c>
      <c r="I592" s="1">
        <v>0</v>
      </c>
      <c r="J592" s="1">
        <v>0</v>
      </c>
      <c r="K592" s="1">
        <v>0</v>
      </c>
      <c r="L592" s="1">
        <v>1</v>
      </c>
      <c r="M592" s="1">
        <v>0</v>
      </c>
      <c r="N592" s="1">
        <v>2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</row>
    <row r="593" spans="2:19" x14ac:dyDescent="0.35">
      <c r="B593" s="1">
        <v>3643</v>
      </c>
      <c r="C593" s="1" t="s">
        <v>19</v>
      </c>
      <c r="D593" s="1" t="s">
        <v>18</v>
      </c>
      <c r="E593" s="1">
        <v>0</v>
      </c>
      <c r="F593" s="28">
        <v>0</v>
      </c>
      <c r="G593" s="28">
        <v>8</v>
      </c>
      <c r="H593" s="1">
        <v>0</v>
      </c>
      <c r="I593" s="1">
        <v>0</v>
      </c>
      <c r="J593" s="1">
        <v>1</v>
      </c>
      <c r="K593" s="1">
        <v>0</v>
      </c>
      <c r="L593" s="1">
        <v>0</v>
      </c>
      <c r="M593" s="1">
        <v>0</v>
      </c>
      <c r="N593" s="1">
        <v>1</v>
      </c>
      <c r="O593" s="1">
        <v>0</v>
      </c>
      <c r="P593" s="1">
        <v>0</v>
      </c>
      <c r="Q593" s="1">
        <v>0</v>
      </c>
      <c r="R593" s="1">
        <v>0</v>
      </c>
      <c r="S593" s="1">
        <v>0</v>
      </c>
    </row>
    <row r="594" spans="2:19" x14ac:dyDescent="0.35">
      <c r="B594" s="1">
        <v>3644</v>
      </c>
      <c r="C594" s="1" t="s">
        <v>22</v>
      </c>
      <c r="D594" s="1" t="s">
        <v>20</v>
      </c>
      <c r="E594" s="1">
        <v>0</v>
      </c>
      <c r="F594" s="28">
        <v>0</v>
      </c>
      <c r="G594" s="28">
        <v>8</v>
      </c>
      <c r="H594" s="1">
        <v>0</v>
      </c>
      <c r="I594" s="1">
        <v>0</v>
      </c>
      <c r="J594" s="1">
        <v>0</v>
      </c>
      <c r="K594" s="1">
        <v>2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</row>
    <row r="595" spans="2:19" x14ac:dyDescent="0.35">
      <c r="B595" s="1">
        <v>3645</v>
      </c>
      <c r="C595" s="1" t="s">
        <v>17</v>
      </c>
      <c r="D595" s="1" t="s">
        <v>18</v>
      </c>
      <c r="E595" s="1">
        <v>0</v>
      </c>
      <c r="F595" s="28">
        <v>0</v>
      </c>
      <c r="G595" s="28">
        <v>0</v>
      </c>
      <c r="H595" s="1">
        <v>0</v>
      </c>
      <c r="I595" s="1">
        <v>6</v>
      </c>
      <c r="J595" s="1">
        <v>0</v>
      </c>
      <c r="K595" s="1">
        <v>0</v>
      </c>
      <c r="L595" s="1">
        <v>0</v>
      </c>
      <c r="M595" s="1">
        <v>0</v>
      </c>
      <c r="N595" s="1">
        <v>3</v>
      </c>
      <c r="O595" s="1">
        <v>1</v>
      </c>
      <c r="P595" s="1">
        <v>0</v>
      </c>
      <c r="Q595" s="1">
        <v>0</v>
      </c>
      <c r="R595" s="1">
        <v>0</v>
      </c>
      <c r="S595" s="1">
        <v>0</v>
      </c>
    </row>
    <row r="596" spans="2:19" x14ac:dyDescent="0.35">
      <c r="B596" s="1">
        <v>3646</v>
      </c>
      <c r="C596" s="1" t="s">
        <v>17</v>
      </c>
      <c r="D596" s="1" t="s">
        <v>20</v>
      </c>
      <c r="E596" s="1">
        <v>0</v>
      </c>
      <c r="F596" s="28">
        <v>0</v>
      </c>
      <c r="G596" s="28">
        <v>8</v>
      </c>
      <c r="H596" s="1">
        <v>0</v>
      </c>
      <c r="I596" s="1">
        <v>0</v>
      </c>
      <c r="J596" s="1">
        <v>1</v>
      </c>
      <c r="K596" s="1">
        <v>1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</row>
    <row r="597" spans="2:19" x14ac:dyDescent="0.35">
      <c r="B597" s="1">
        <v>3647</v>
      </c>
      <c r="C597" s="1" t="s">
        <v>19</v>
      </c>
      <c r="D597" s="1" t="s">
        <v>18</v>
      </c>
      <c r="E597" s="1">
        <v>0</v>
      </c>
      <c r="F597" s="28">
        <v>0</v>
      </c>
      <c r="G597" s="28">
        <v>7</v>
      </c>
      <c r="H597" s="1">
        <v>0</v>
      </c>
      <c r="I597" s="1">
        <v>0</v>
      </c>
      <c r="J597" s="1">
        <v>0</v>
      </c>
      <c r="K597" s="1">
        <v>2</v>
      </c>
      <c r="L597" s="1">
        <v>0</v>
      </c>
      <c r="M597" s="1">
        <v>0</v>
      </c>
      <c r="N597" s="1">
        <v>1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</row>
    <row r="598" spans="2:19" x14ac:dyDescent="0.35">
      <c r="B598" s="1">
        <v>3648</v>
      </c>
      <c r="C598" s="1" t="s">
        <v>22</v>
      </c>
      <c r="D598" s="1" t="s">
        <v>20</v>
      </c>
      <c r="E598" s="1">
        <v>0</v>
      </c>
      <c r="F598" s="28">
        <v>0</v>
      </c>
      <c r="G598" s="28">
        <v>7</v>
      </c>
      <c r="H598" s="1">
        <v>0</v>
      </c>
      <c r="I598" s="1">
        <v>0</v>
      </c>
      <c r="J598" s="1">
        <v>0</v>
      </c>
      <c r="K598" s="1">
        <v>2</v>
      </c>
      <c r="L598" s="1">
        <v>0</v>
      </c>
      <c r="M598" s="1">
        <v>0</v>
      </c>
      <c r="N598" s="1">
        <v>0</v>
      </c>
      <c r="O598" s="1">
        <v>1</v>
      </c>
      <c r="P598" s="1">
        <v>0</v>
      </c>
      <c r="Q598" s="1">
        <v>0</v>
      </c>
      <c r="R598" s="1">
        <v>0</v>
      </c>
      <c r="S598" s="1">
        <v>0</v>
      </c>
    </row>
    <row r="599" spans="2:19" x14ac:dyDescent="0.35">
      <c r="B599" s="1">
        <v>3649</v>
      </c>
      <c r="C599" s="1" t="s">
        <v>17</v>
      </c>
      <c r="D599" s="1" t="s">
        <v>20</v>
      </c>
      <c r="E599" s="1">
        <v>0</v>
      </c>
      <c r="F599" s="28">
        <v>0</v>
      </c>
      <c r="G599" s="28">
        <v>0</v>
      </c>
      <c r="H599" s="1">
        <v>0</v>
      </c>
      <c r="I599" s="1">
        <v>6</v>
      </c>
      <c r="J599" s="1">
        <v>2</v>
      </c>
      <c r="K599" s="1">
        <v>0</v>
      </c>
      <c r="L599" s="1">
        <v>0</v>
      </c>
      <c r="M599" s="1">
        <v>0</v>
      </c>
      <c r="N599" s="1">
        <v>2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</row>
    <row r="600" spans="2:19" x14ac:dyDescent="0.35">
      <c r="B600" s="1">
        <v>3650</v>
      </c>
      <c r="C600" s="1" t="s">
        <v>19</v>
      </c>
      <c r="D600" s="1" t="s">
        <v>18</v>
      </c>
      <c r="E600" s="1">
        <v>0</v>
      </c>
      <c r="F600" s="28">
        <v>0</v>
      </c>
      <c r="G600" s="28">
        <v>1</v>
      </c>
      <c r="H600" s="1">
        <v>0</v>
      </c>
      <c r="I600" s="1">
        <v>1</v>
      </c>
      <c r="J600" s="1">
        <v>0</v>
      </c>
      <c r="K600" s="1">
        <v>0</v>
      </c>
      <c r="L600" s="1">
        <v>0</v>
      </c>
      <c r="M600" s="1">
        <v>0</v>
      </c>
      <c r="N600" s="1">
        <v>8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</row>
    <row r="601" spans="2:19" x14ac:dyDescent="0.35">
      <c r="B601" s="1">
        <v>3651</v>
      </c>
      <c r="C601" s="1" t="s">
        <v>22</v>
      </c>
      <c r="D601" s="1" t="s">
        <v>18</v>
      </c>
      <c r="E601" s="1">
        <v>0</v>
      </c>
      <c r="F601" s="28">
        <v>0</v>
      </c>
      <c r="G601" s="28">
        <v>0</v>
      </c>
      <c r="H601" s="1">
        <v>0</v>
      </c>
      <c r="I601" s="1">
        <v>1</v>
      </c>
      <c r="J601" s="1">
        <v>0</v>
      </c>
      <c r="K601" s="1">
        <v>0</v>
      </c>
      <c r="L601" s="1">
        <v>0</v>
      </c>
      <c r="M601" s="1">
        <v>0</v>
      </c>
      <c r="N601" s="1">
        <v>8</v>
      </c>
      <c r="O601" s="1">
        <v>0</v>
      </c>
      <c r="P601" s="1">
        <v>0</v>
      </c>
      <c r="Q601" s="1">
        <v>0</v>
      </c>
      <c r="R601" s="1">
        <v>0</v>
      </c>
      <c r="S601" s="1">
        <v>1</v>
      </c>
    </row>
    <row r="602" spans="2:19" x14ac:dyDescent="0.35">
      <c r="B602" s="1">
        <v>3652</v>
      </c>
      <c r="C602" s="1" t="s">
        <v>23</v>
      </c>
      <c r="D602" s="1" t="s">
        <v>20</v>
      </c>
      <c r="E602" s="1">
        <v>0</v>
      </c>
      <c r="F602" s="28">
        <v>0</v>
      </c>
      <c r="G602" s="28">
        <v>0</v>
      </c>
      <c r="H602" s="1">
        <v>0</v>
      </c>
      <c r="I602" s="1">
        <v>6</v>
      </c>
      <c r="J602" s="1">
        <v>0</v>
      </c>
      <c r="K602" s="1">
        <v>0</v>
      </c>
      <c r="L602" s="1">
        <v>0</v>
      </c>
      <c r="M602" s="1">
        <v>0</v>
      </c>
      <c r="N602" s="1">
        <v>0</v>
      </c>
      <c r="O602" s="1">
        <v>3</v>
      </c>
      <c r="P602" s="1">
        <v>0</v>
      </c>
      <c r="Q602" s="1">
        <v>0</v>
      </c>
      <c r="R602" s="1">
        <v>0</v>
      </c>
      <c r="S602" s="1">
        <v>1</v>
      </c>
    </row>
    <row r="603" spans="2:19" x14ac:dyDescent="0.35">
      <c r="B603" s="1">
        <v>3653</v>
      </c>
      <c r="C603" s="1" t="s">
        <v>22</v>
      </c>
      <c r="D603" s="1" t="s">
        <v>18</v>
      </c>
      <c r="E603" s="1">
        <v>0</v>
      </c>
      <c r="F603" s="28">
        <v>0</v>
      </c>
      <c r="G603" s="28">
        <v>0</v>
      </c>
      <c r="H603" s="1">
        <v>0</v>
      </c>
      <c r="I603" s="1">
        <v>1</v>
      </c>
      <c r="J603" s="1">
        <v>1</v>
      </c>
      <c r="K603" s="1">
        <v>0</v>
      </c>
      <c r="L603" s="1">
        <v>0</v>
      </c>
      <c r="M603" s="1">
        <v>0</v>
      </c>
      <c r="N603" s="1">
        <v>8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</row>
    <row r="604" spans="2:19" x14ac:dyDescent="0.35">
      <c r="B604" s="1">
        <v>3654</v>
      </c>
      <c r="C604" s="1" t="s">
        <v>17</v>
      </c>
      <c r="D604" s="1" t="s">
        <v>18</v>
      </c>
      <c r="E604" s="1">
        <v>0</v>
      </c>
      <c r="F604" s="28">
        <v>0</v>
      </c>
      <c r="G604" s="28">
        <v>0</v>
      </c>
      <c r="H604" s="1">
        <v>0</v>
      </c>
      <c r="I604" s="1">
        <v>0</v>
      </c>
      <c r="J604" s="1">
        <v>0</v>
      </c>
      <c r="K604" s="1">
        <v>0</v>
      </c>
      <c r="L604" s="1">
        <v>1</v>
      </c>
      <c r="M604" s="1">
        <v>0</v>
      </c>
      <c r="N604" s="1">
        <v>6</v>
      </c>
      <c r="O604" s="1">
        <v>3</v>
      </c>
      <c r="P604" s="1">
        <v>0</v>
      </c>
      <c r="Q604" s="1">
        <v>0</v>
      </c>
      <c r="R604" s="1">
        <v>0</v>
      </c>
      <c r="S604" s="1">
        <v>0</v>
      </c>
    </row>
    <row r="605" spans="2:19" x14ac:dyDescent="0.35">
      <c r="B605" s="1">
        <v>3655</v>
      </c>
      <c r="C605" s="1" t="s">
        <v>19</v>
      </c>
      <c r="D605" s="1" t="s">
        <v>18</v>
      </c>
      <c r="E605" s="1">
        <v>0</v>
      </c>
      <c r="F605" s="28">
        <v>0</v>
      </c>
      <c r="G605" s="28">
        <v>0</v>
      </c>
      <c r="H605" s="1">
        <v>0</v>
      </c>
      <c r="I605" s="1">
        <v>0</v>
      </c>
      <c r="J605" s="1">
        <v>1</v>
      </c>
      <c r="K605" s="1">
        <v>0</v>
      </c>
      <c r="L605" s="1">
        <v>0</v>
      </c>
      <c r="M605" s="1">
        <v>0</v>
      </c>
      <c r="N605" s="1">
        <v>7</v>
      </c>
      <c r="O605" s="1">
        <v>2</v>
      </c>
      <c r="P605" s="1">
        <v>0</v>
      </c>
      <c r="Q605" s="1">
        <v>0</v>
      </c>
      <c r="R605" s="1">
        <v>0</v>
      </c>
      <c r="S605" s="1">
        <v>0</v>
      </c>
    </row>
    <row r="606" spans="2:19" x14ac:dyDescent="0.35">
      <c r="B606" s="1">
        <v>3656</v>
      </c>
      <c r="C606" s="1" t="s">
        <v>19</v>
      </c>
      <c r="D606" s="1" t="s">
        <v>20</v>
      </c>
      <c r="E606" s="1">
        <v>0</v>
      </c>
      <c r="F606" s="28">
        <v>0</v>
      </c>
      <c r="G606" s="28">
        <v>0</v>
      </c>
      <c r="H606" s="1">
        <v>0</v>
      </c>
      <c r="I606" s="1">
        <v>2</v>
      </c>
      <c r="J606" s="1">
        <v>0</v>
      </c>
      <c r="K606" s="1">
        <v>0</v>
      </c>
      <c r="L606" s="1">
        <v>0</v>
      </c>
      <c r="M606" s="1">
        <v>0</v>
      </c>
      <c r="N606" s="1">
        <v>3</v>
      </c>
      <c r="O606" s="1">
        <v>5</v>
      </c>
      <c r="P606" s="1">
        <v>0</v>
      </c>
      <c r="Q606" s="1">
        <v>0</v>
      </c>
      <c r="R606" s="1">
        <v>0</v>
      </c>
      <c r="S606" s="1">
        <v>0</v>
      </c>
    </row>
    <row r="607" spans="2:19" x14ac:dyDescent="0.35">
      <c r="B607" s="1">
        <v>3657</v>
      </c>
      <c r="C607" s="1" t="s">
        <v>19</v>
      </c>
      <c r="D607" s="1" t="s">
        <v>20</v>
      </c>
      <c r="E607" s="1">
        <v>0</v>
      </c>
      <c r="F607" s="28">
        <v>0</v>
      </c>
      <c r="G607" s="28">
        <v>0</v>
      </c>
      <c r="H607" s="1">
        <v>0</v>
      </c>
      <c r="I607" s="1">
        <v>1</v>
      </c>
      <c r="J607" s="1">
        <v>0</v>
      </c>
      <c r="K607" s="1">
        <v>0</v>
      </c>
      <c r="L607" s="1">
        <v>0</v>
      </c>
      <c r="M607" s="1">
        <v>0</v>
      </c>
      <c r="N607" s="1">
        <v>8</v>
      </c>
      <c r="O607" s="1">
        <v>1</v>
      </c>
      <c r="P607" s="1">
        <v>0</v>
      </c>
      <c r="Q607" s="1">
        <v>0</v>
      </c>
      <c r="R607" s="1">
        <v>0</v>
      </c>
      <c r="S607" s="1">
        <v>0</v>
      </c>
    </row>
    <row r="608" spans="2:19" x14ac:dyDescent="0.35">
      <c r="B608" s="1">
        <v>3658</v>
      </c>
      <c r="C608" s="1" t="s">
        <v>17</v>
      </c>
      <c r="D608" s="1" t="s">
        <v>20</v>
      </c>
      <c r="E608" s="1">
        <v>0</v>
      </c>
      <c r="F608" s="28">
        <v>0</v>
      </c>
      <c r="G608" s="28">
        <v>0</v>
      </c>
      <c r="H608" s="1">
        <v>0</v>
      </c>
      <c r="I608" s="1">
        <v>3</v>
      </c>
      <c r="J608" s="1">
        <v>1</v>
      </c>
      <c r="K608" s="1">
        <v>0</v>
      </c>
      <c r="L608" s="1">
        <v>0</v>
      </c>
      <c r="M608" s="1">
        <v>0</v>
      </c>
      <c r="N608" s="1">
        <v>6</v>
      </c>
      <c r="O608" s="1">
        <v>0</v>
      </c>
      <c r="P608" s="1">
        <v>0</v>
      </c>
      <c r="Q608" s="1">
        <v>0</v>
      </c>
      <c r="R608" s="1">
        <v>0</v>
      </c>
      <c r="S608" s="1">
        <v>0</v>
      </c>
    </row>
    <row r="609" spans="2:19" x14ac:dyDescent="0.35">
      <c r="B609" s="1">
        <v>3659</v>
      </c>
      <c r="C609" s="1" t="s">
        <v>19</v>
      </c>
      <c r="D609" s="1" t="s">
        <v>18</v>
      </c>
      <c r="E609" s="1">
        <v>0</v>
      </c>
      <c r="F609" s="28">
        <v>0</v>
      </c>
      <c r="G609" s="28">
        <v>0</v>
      </c>
      <c r="H609" s="1">
        <v>0</v>
      </c>
      <c r="I609" s="1">
        <v>2</v>
      </c>
      <c r="J609" s="1">
        <v>0</v>
      </c>
      <c r="K609" s="1">
        <v>0</v>
      </c>
      <c r="L609" s="1">
        <v>0</v>
      </c>
      <c r="M609" s="1">
        <v>0</v>
      </c>
      <c r="N609" s="1">
        <v>8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</row>
    <row r="610" spans="2:19" x14ac:dyDescent="0.35">
      <c r="B610" s="1">
        <v>3660</v>
      </c>
      <c r="C610" s="1" t="s">
        <v>19</v>
      </c>
      <c r="D610" s="1" t="s">
        <v>20</v>
      </c>
      <c r="E610" s="1">
        <v>0</v>
      </c>
      <c r="F610" s="28">
        <v>0</v>
      </c>
      <c r="G610" s="28">
        <v>0</v>
      </c>
      <c r="H610" s="1">
        <v>0</v>
      </c>
      <c r="I610" s="1">
        <v>1</v>
      </c>
      <c r="J610" s="1">
        <v>0</v>
      </c>
      <c r="K610" s="1">
        <v>0</v>
      </c>
      <c r="L610" s="1">
        <v>0</v>
      </c>
      <c r="M610" s="1">
        <v>0</v>
      </c>
      <c r="N610" s="1">
        <v>7</v>
      </c>
      <c r="O610" s="1">
        <v>2</v>
      </c>
      <c r="P610" s="1">
        <v>0</v>
      </c>
      <c r="Q610" s="1">
        <v>0</v>
      </c>
      <c r="R610" s="1">
        <v>0</v>
      </c>
      <c r="S610" s="1">
        <v>0</v>
      </c>
    </row>
    <row r="611" spans="2:19" x14ac:dyDescent="0.35">
      <c r="B611" s="1">
        <v>3661</v>
      </c>
      <c r="C611" s="1" t="s">
        <v>21</v>
      </c>
      <c r="D611" s="1" t="s">
        <v>20</v>
      </c>
      <c r="E611" s="1">
        <v>0</v>
      </c>
      <c r="F611" s="28">
        <v>0</v>
      </c>
      <c r="G611" s="28">
        <v>0</v>
      </c>
      <c r="H611" s="1">
        <v>2</v>
      </c>
      <c r="I611" s="1">
        <v>0</v>
      </c>
      <c r="J611" s="1">
        <v>0</v>
      </c>
      <c r="K611" s="1">
        <v>0</v>
      </c>
      <c r="L611" s="1">
        <v>7</v>
      </c>
      <c r="M611" s="1">
        <v>0</v>
      </c>
      <c r="N611" s="1">
        <v>0</v>
      </c>
      <c r="O611" s="1">
        <v>0</v>
      </c>
      <c r="P611" s="1">
        <v>0</v>
      </c>
      <c r="Q611" s="1">
        <v>1</v>
      </c>
      <c r="R611" s="1">
        <v>0</v>
      </c>
      <c r="S611" s="1">
        <v>0</v>
      </c>
    </row>
    <row r="612" spans="2:19" x14ac:dyDescent="0.35">
      <c r="B612" s="1">
        <v>3662</v>
      </c>
      <c r="C612" s="1" t="s">
        <v>19</v>
      </c>
      <c r="D612" s="1" t="s">
        <v>18</v>
      </c>
      <c r="E612" s="1">
        <v>2</v>
      </c>
      <c r="F612" s="28">
        <v>0</v>
      </c>
      <c r="G612" s="28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  <c r="M612" s="1">
        <v>0</v>
      </c>
      <c r="N612" s="1">
        <v>5</v>
      </c>
      <c r="O612" s="1">
        <v>3</v>
      </c>
      <c r="P612" s="1">
        <v>0</v>
      </c>
      <c r="Q612" s="1">
        <v>0</v>
      </c>
      <c r="R612" s="1">
        <v>0</v>
      </c>
      <c r="S612" s="1">
        <v>0</v>
      </c>
    </row>
    <row r="613" spans="2:19" x14ac:dyDescent="0.35">
      <c r="B613" s="1">
        <v>3663</v>
      </c>
      <c r="C613" s="1" t="s">
        <v>21</v>
      </c>
      <c r="D613" s="1" t="s">
        <v>18</v>
      </c>
      <c r="E613" s="1">
        <v>0</v>
      </c>
      <c r="F613" s="28">
        <v>0</v>
      </c>
      <c r="G613" s="28">
        <v>0</v>
      </c>
      <c r="H613" s="1">
        <v>0</v>
      </c>
      <c r="I613" s="1">
        <v>0</v>
      </c>
      <c r="J613" s="1">
        <v>0</v>
      </c>
      <c r="K613" s="1">
        <v>0</v>
      </c>
      <c r="L613" s="1">
        <v>8</v>
      </c>
      <c r="M613" s="1">
        <v>0</v>
      </c>
      <c r="N613" s="1">
        <v>1</v>
      </c>
      <c r="O613" s="1">
        <v>1</v>
      </c>
      <c r="P613" s="1">
        <v>0</v>
      </c>
      <c r="Q613" s="1">
        <v>0</v>
      </c>
      <c r="R613" s="1">
        <v>0</v>
      </c>
      <c r="S613" s="1">
        <v>0</v>
      </c>
    </row>
    <row r="614" spans="2:19" x14ac:dyDescent="0.35">
      <c r="B614" s="1">
        <v>3664</v>
      </c>
      <c r="C614" s="1" t="s">
        <v>21</v>
      </c>
      <c r="D614" s="1" t="s">
        <v>20</v>
      </c>
      <c r="E614" s="1">
        <v>0</v>
      </c>
      <c r="F614" s="28">
        <v>0</v>
      </c>
      <c r="G614" s="28">
        <v>0</v>
      </c>
      <c r="H614" s="1">
        <v>0</v>
      </c>
      <c r="I614" s="1">
        <v>2</v>
      </c>
      <c r="J614" s="1">
        <v>0</v>
      </c>
      <c r="K614" s="1">
        <v>0</v>
      </c>
      <c r="L614" s="1">
        <v>0</v>
      </c>
      <c r="M614" s="1">
        <v>0</v>
      </c>
      <c r="N614" s="1">
        <v>7</v>
      </c>
      <c r="O614" s="1">
        <v>0</v>
      </c>
      <c r="P614" s="1">
        <v>0</v>
      </c>
      <c r="Q614" s="1">
        <v>0</v>
      </c>
      <c r="R614" s="1">
        <v>0</v>
      </c>
      <c r="S614" s="1">
        <v>1</v>
      </c>
    </row>
    <row r="615" spans="2:19" x14ac:dyDescent="0.35">
      <c r="B615" s="1">
        <v>3665</v>
      </c>
      <c r="C615" s="1" t="s">
        <v>24</v>
      </c>
      <c r="D615" s="1" t="s">
        <v>18</v>
      </c>
      <c r="E615" s="1">
        <v>0</v>
      </c>
      <c r="F615" s="28">
        <v>3</v>
      </c>
      <c r="G615" s="28">
        <v>0</v>
      </c>
      <c r="H615" s="1">
        <v>0</v>
      </c>
      <c r="I615" s="1">
        <v>0</v>
      </c>
      <c r="J615" s="1">
        <v>0</v>
      </c>
      <c r="K615" s="1">
        <v>0</v>
      </c>
      <c r="L615" s="1">
        <v>5</v>
      </c>
      <c r="M615" s="1">
        <v>0</v>
      </c>
      <c r="N615" s="1">
        <v>0</v>
      </c>
      <c r="O615" s="1">
        <v>0</v>
      </c>
      <c r="P615" s="1">
        <v>0</v>
      </c>
      <c r="Q615" s="1">
        <v>2</v>
      </c>
      <c r="R615" s="1">
        <v>0</v>
      </c>
      <c r="S615" s="1">
        <v>0</v>
      </c>
    </row>
    <row r="616" spans="2:19" x14ac:dyDescent="0.35">
      <c r="B616" s="1">
        <v>3666</v>
      </c>
      <c r="C616" s="1" t="s">
        <v>19</v>
      </c>
      <c r="D616" s="1" t="s">
        <v>18</v>
      </c>
      <c r="E616" s="1">
        <v>0</v>
      </c>
      <c r="F616" s="28">
        <v>0</v>
      </c>
      <c r="G616" s="28">
        <v>2</v>
      </c>
      <c r="H616" s="1">
        <v>0</v>
      </c>
      <c r="I616" s="1">
        <v>2</v>
      </c>
      <c r="J616" s="1">
        <v>0</v>
      </c>
      <c r="K616" s="1">
        <v>0</v>
      </c>
      <c r="L616" s="1">
        <v>0</v>
      </c>
      <c r="M616" s="1">
        <v>0</v>
      </c>
      <c r="N616" s="1">
        <v>6</v>
      </c>
      <c r="O616" s="1">
        <v>0</v>
      </c>
      <c r="P616" s="1">
        <v>0</v>
      </c>
      <c r="Q616" s="1">
        <v>0</v>
      </c>
      <c r="R616" s="1">
        <v>0</v>
      </c>
      <c r="S616" s="1">
        <v>0</v>
      </c>
    </row>
    <row r="617" spans="2:19" x14ac:dyDescent="0.35">
      <c r="B617" s="1">
        <v>3667</v>
      </c>
      <c r="C617" s="1" t="s">
        <v>23</v>
      </c>
      <c r="D617" s="1" t="s">
        <v>18</v>
      </c>
      <c r="E617" s="1">
        <v>0</v>
      </c>
      <c r="F617" s="28">
        <v>0</v>
      </c>
      <c r="G617" s="28">
        <v>0</v>
      </c>
      <c r="H617" s="1">
        <v>2</v>
      </c>
      <c r="I617" s="1">
        <v>0</v>
      </c>
      <c r="J617" s="1">
        <v>3</v>
      </c>
      <c r="K617" s="1">
        <v>0</v>
      </c>
      <c r="L617" s="1">
        <v>0</v>
      </c>
      <c r="M617" s="1">
        <v>0</v>
      </c>
      <c r="N617" s="1">
        <v>0</v>
      </c>
      <c r="O617" s="1">
        <v>5</v>
      </c>
      <c r="P617" s="1">
        <v>0</v>
      </c>
      <c r="Q617" s="1">
        <v>0</v>
      </c>
      <c r="R617" s="1">
        <v>0</v>
      </c>
      <c r="S617" s="1">
        <v>0</v>
      </c>
    </row>
    <row r="618" spans="2:19" x14ac:dyDescent="0.35">
      <c r="B618" s="1">
        <v>3668</v>
      </c>
      <c r="C618" s="1" t="s">
        <v>23</v>
      </c>
      <c r="D618" s="1" t="s">
        <v>20</v>
      </c>
      <c r="E618" s="1">
        <v>0</v>
      </c>
      <c r="F618" s="28">
        <v>0</v>
      </c>
      <c r="G618" s="28">
        <v>0</v>
      </c>
      <c r="H618" s="1">
        <v>3</v>
      </c>
      <c r="I618" s="1">
        <v>0</v>
      </c>
      <c r="J618" s="1">
        <v>0</v>
      </c>
      <c r="K618" s="1">
        <v>1</v>
      </c>
      <c r="L618" s="1">
        <v>0</v>
      </c>
      <c r="M618" s="1">
        <v>0</v>
      </c>
      <c r="N618" s="1">
        <v>0</v>
      </c>
      <c r="O618" s="1">
        <v>6</v>
      </c>
      <c r="P618" s="1">
        <v>0</v>
      </c>
      <c r="Q618" s="1">
        <v>0</v>
      </c>
      <c r="R618" s="1">
        <v>0</v>
      </c>
      <c r="S618" s="1">
        <v>0</v>
      </c>
    </row>
    <row r="619" spans="2:19" x14ac:dyDescent="0.35">
      <c r="B619" s="1">
        <v>3669</v>
      </c>
      <c r="C619" s="1" t="s">
        <v>17</v>
      </c>
      <c r="D619" s="1" t="s">
        <v>20</v>
      </c>
      <c r="E619" s="1">
        <v>0</v>
      </c>
      <c r="F619" s="28">
        <v>0</v>
      </c>
      <c r="G619" s="28">
        <v>0</v>
      </c>
      <c r="H619" s="1">
        <v>1</v>
      </c>
      <c r="I619" s="1">
        <v>1</v>
      </c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8</v>
      </c>
      <c r="P619" s="1">
        <v>0</v>
      </c>
      <c r="Q619" s="1">
        <v>0</v>
      </c>
      <c r="R619" s="1">
        <v>0</v>
      </c>
      <c r="S619" s="1">
        <v>0</v>
      </c>
    </row>
    <row r="620" spans="2:19" x14ac:dyDescent="0.35">
      <c r="B620" s="1">
        <v>3670</v>
      </c>
      <c r="C620" s="1" t="s">
        <v>17</v>
      </c>
      <c r="D620" s="1" t="s">
        <v>18</v>
      </c>
      <c r="E620" s="1">
        <v>0</v>
      </c>
      <c r="F620" s="28">
        <v>0</v>
      </c>
      <c r="G620" s="28">
        <v>0</v>
      </c>
      <c r="H620" s="1">
        <v>0</v>
      </c>
      <c r="I620" s="1">
        <v>0</v>
      </c>
      <c r="J620" s="1">
        <v>0</v>
      </c>
      <c r="K620" s="1">
        <v>0</v>
      </c>
      <c r="L620" s="1">
        <v>7</v>
      </c>
      <c r="M620" s="1">
        <v>0</v>
      </c>
      <c r="N620" s="1">
        <v>2</v>
      </c>
      <c r="O620" s="1">
        <v>0</v>
      </c>
      <c r="P620" s="1">
        <v>1</v>
      </c>
      <c r="Q620" s="1">
        <v>0</v>
      </c>
      <c r="R620" s="1">
        <v>0</v>
      </c>
      <c r="S620" s="1">
        <v>0</v>
      </c>
    </row>
    <row r="621" spans="2:19" x14ac:dyDescent="0.35">
      <c r="B621" s="1">
        <v>3671</v>
      </c>
      <c r="C621" s="1" t="s">
        <v>23</v>
      </c>
      <c r="D621" s="1" t="s">
        <v>20</v>
      </c>
      <c r="E621" s="1">
        <v>0</v>
      </c>
      <c r="F621" s="28">
        <v>0</v>
      </c>
      <c r="G621" s="28">
        <v>0</v>
      </c>
      <c r="H621" s="1">
        <v>0</v>
      </c>
      <c r="I621" s="1">
        <v>0</v>
      </c>
      <c r="J621" s="1">
        <v>0</v>
      </c>
      <c r="K621" s="1">
        <v>3</v>
      </c>
      <c r="L621" s="1">
        <v>0</v>
      </c>
      <c r="M621" s="1">
        <v>2</v>
      </c>
      <c r="N621" s="1">
        <v>0</v>
      </c>
      <c r="O621" s="1">
        <v>5</v>
      </c>
      <c r="P621" s="1">
        <v>0</v>
      </c>
      <c r="Q621" s="1">
        <v>0</v>
      </c>
      <c r="R621" s="1">
        <v>0</v>
      </c>
      <c r="S621" s="1">
        <v>0</v>
      </c>
    </row>
    <row r="622" spans="2:19" x14ac:dyDescent="0.35">
      <c r="B622" s="1">
        <v>3672</v>
      </c>
      <c r="C622" s="1" t="s">
        <v>21</v>
      </c>
      <c r="D622" s="1" t="s">
        <v>18</v>
      </c>
      <c r="E622" s="1">
        <v>0</v>
      </c>
      <c r="F622" s="28">
        <v>0</v>
      </c>
      <c r="G622" s="28">
        <v>0</v>
      </c>
      <c r="H622" s="1">
        <v>0</v>
      </c>
      <c r="I622" s="1">
        <v>0</v>
      </c>
      <c r="J622" s="1">
        <v>0</v>
      </c>
      <c r="K622" s="1">
        <v>0</v>
      </c>
      <c r="L622" s="1">
        <v>5</v>
      </c>
      <c r="M622" s="1">
        <v>0</v>
      </c>
      <c r="N622" s="1">
        <v>1</v>
      </c>
      <c r="O622" s="1">
        <v>4</v>
      </c>
      <c r="P622" s="1">
        <v>0</v>
      </c>
      <c r="Q622" s="1">
        <v>0</v>
      </c>
      <c r="R622" s="1">
        <v>0</v>
      </c>
      <c r="S622" s="1">
        <v>0</v>
      </c>
    </row>
    <row r="623" spans="2:19" x14ac:dyDescent="0.35">
      <c r="B623" s="1">
        <v>3673</v>
      </c>
      <c r="C623" s="1" t="s">
        <v>19</v>
      </c>
      <c r="D623" s="1" t="s">
        <v>18</v>
      </c>
      <c r="E623" s="1">
        <v>0</v>
      </c>
      <c r="F623" s="28">
        <v>0</v>
      </c>
      <c r="G623" s="28">
        <v>0</v>
      </c>
      <c r="H623" s="1">
        <v>0</v>
      </c>
      <c r="I623" s="1">
        <v>2</v>
      </c>
      <c r="J623" s="1">
        <v>0</v>
      </c>
      <c r="K623" s="1">
        <v>0</v>
      </c>
      <c r="L623" s="1">
        <v>1</v>
      </c>
      <c r="M623" s="1">
        <v>0</v>
      </c>
      <c r="N623" s="1">
        <v>7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</row>
    <row r="624" spans="2:19" x14ac:dyDescent="0.35">
      <c r="B624" s="1">
        <v>3674</v>
      </c>
      <c r="C624" s="1" t="s">
        <v>19</v>
      </c>
      <c r="D624" s="1" t="s">
        <v>18</v>
      </c>
      <c r="E624" s="1">
        <v>0</v>
      </c>
      <c r="F624" s="28">
        <v>0</v>
      </c>
      <c r="G624" s="28">
        <v>0</v>
      </c>
      <c r="H624" s="1">
        <v>0</v>
      </c>
      <c r="I624" s="1">
        <v>6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</v>
      </c>
      <c r="P624" s="1">
        <v>1</v>
      </c>
      <c r="Q624" s="1">
        <v>0</v>
      </c>
      <c r="R624" s="1">
        <v>0</v>
      </c>
      <c r="S624" s="1">
        <v>0</v>
      </c>
    </row>
    <row r="625" spans="2:19" x14ac:dyDescent="0.35">
      <c r="B625" s="1">
        <v>3675</v>
      </c>
      <c r="C625" s="1" t="s">
        <v>25</v>
      </c>
      <c r="D625" s="1" t="s">
        <v>18</v>
      </c>
      <c r="E625" s="1">
        <v>0</v>
      </c>
      <c r="F625" s="28">
        <v>0</v>
      </c>
      <c r="G625" s="28">
        <v>0</v>
      </c>
      <c r="H625" s="1">
        <v>0</v>
      </c>
      <c r="I625" s="1">
        <v>2</v>
      </c>
      <c r="J625" s="1">
        <v>1</v>
      </c>
      <c r="K625" s="1">
        <v>0</v>
      </c>
      <c r="L625" s="1">
        <v>7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</row>
    <row r="626" spans="2:19" x14ac:dyDescent="0.35">
      <c r="B626" s="1">
        <v>3676</v>
      </c>
      <c r="C626" s="1" t="s">
        <v>19</v>
      </c>
      <c r="D626" s="1" t="s">
        <v>18</v>
      </c>
      <c r="E626" s="1">
        <v>0</v>
      </c>
      <c r="F626" s="28">
        <v>0</v>
      </c>
      <c r="G626" s="28">
        <v>0</v>
      </c>
      <c r="H626" s="1">
        <v>0</v>
      </c>
      <c r="I626" s="1">
        <v>1</v>
      </c>
      <c r="J626" s="1">
        <v>1</v>
      </c>
      <c r="K626" s="1">
        <v>0</v>
      </c>
      <c r="L626" s="1">
        <v>0</v>
      </c>
      <c r="M626" s="1">
        <v>0</v>
      </c>
      <c r="N626" s="1">
        <v>8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</row>
    <row r="627" spans="2:19" x14ac:dyDescent="0.35">
      <c r="B627" s="1">
        <v>3677</v>
      </c>
      <c r="C627" s="1" t="s">
        <v>22</v>
      </c>
      <c r="D627" s="1" t="s">
        <v>18</v>
      </c>
      <c r="E627" s="1">
        <v>0</v>
      </c>
      <c r="F627" s="28">
        <v>0</v>
      </c>
      <c r="G627" s="28">
        <v>0</v>
      </c>
      <c r="H627" s="1">
        <v>0</v>
      </c>
      <c r="I627" s="1">
        <v>0</v>
      </c>
      <c r="J627" s="1">
        <v>2</v>
      </c>
      <c r="K627" s="1">
        <v>0</v>
      </c>
      <c r="L627" s="1">
        <v>0</v>
      </c>
      <c r="M627" s="1">
        <v>0</v>
      </c>
      <c r="N627" s="1">
        <v>5</v>
      </c>
      <c r="O627" s="1">
        <v>3</v>
      </c>
      <c r="P627" s="1">
        <v>0</v>
      </c>
      <c r="Q627" s="1">
        <v>0</v>
      </c>
      <c r="R627" s="1">
        <v>0</v>
      </c>
      <c r="S627" s="1">
        <v>0</v>
      </c>
    </row>
    <row r="628" spans="2:19" x14ac:dyDescent="0.35">
      <c r="B628" s="1">
        <v>3678</v>
      </c>
      <c r="C628" s="1" t="s">
        <v>24</v>
      </c>
      <c r="D628" s="1" t="s">
        <v>18</v>
      </c>
      <c r="E628" s="1">
        <v>0</v>
      </c>
      <c r="F628" s="28">
        <v>0</v>
      </c>
      <c r="G628" s="28">
        <v>0</v>
      </c>
      <c r="H628" s="1">
        <v>0</v>
      </c>
      <c r="I628" s="1">
        <v>1</v>
      </c>
      <c r="J628" s="1">
        <v>3</v>
      </c>
      <c r="K628" s="1">
        <v>0</v>
      </c>
      <c r="L628" s="1">
        <v>6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</row>
    <row r="629" spans="2:19" x14ac:dyDescent="0.35">
      <c r="B629" s="1">
        <v>3679</v>
      </c>
      <c r="C629" s="1" t="s">
        <v>19</v>
      </c>
      <c r="D629" s="1" t="s">
        <v>18</v>
      </c>
      <c r="E629" s="1">
        <v>0</v>
      </c>
      <c r="F629" s="28">
        <v>0</v>
      </c>
      <c r="G629" s="28">
        <v>0</v>
      </c>
      <c r="H629" s="1">
        <v>0</v>
      </c>
      <c r="I629" s="1">
        <v>1</v>
      </c>
      <c r="J629" s="1">
        <v>0</v>
      </c>
      <c r="K629" s="1">
        <v>0</v>
      </c>
      <c r="L629" s="1">
        <v>0</v>
      </c>
      <c r="M629" s="1">
        <v>0</v>
      </c>
      <c r="N629" s="1">
        <v>8</v>
      </c>
      <c r="O629" s="1">
        <v>1</v>
      </c>
      <c r="P629" s="1">
        <v>0</v>
      </c>
      <c r="Q629" s="1">
        <v>0</v>
      </c>
      <c r="R629" s="1">
        <v>0</v>
      </c>
      <c r="S629" s="1">
        <v>0</v>
      </c>
    </row>
    <row r="630" spans="2:19" x14ac:dyDescent="0.35">
      <c r="B630" s="1">
        <v>3680</v>
      </c>
      <c r="C630" s="1" t="s">
        <v>23</v>
      </c>
      <c r="D630" s="1" t="s">
        <v>20</v>
      </c>
      <c r="E630" s="1">
        <v>2</v>
      </c>
      <c r="F630" s="28">
        <v>0</v>
      </c>
      <c r="G630" s="28">
        <v>0</v>
      </c>
      <c r="H630" s="1">
        <v>0</v>
      </c>
      <c r="I630" s="1">
        <v>2</v>
      </c>
      <c r="J630" s="1">
        <v>0</v>
      </c>
      <c r="K630" s="1">
        <v>0</v>
      </c>
      <c r="L630" s="1">
        <v>0</v>
      </c>
      <c r="M630" s="1">
        <v>0</v>
      </c>
      <c r="N630" s="1">
        <v>6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</row>
    <row r="631" spans="2:19" x14ac:dyDescent="0.35">
      <c r="B631" s="1">
        <v>3681</v>
      </c>
      <c r="C631" s="1" t="s">
        <v>17</v>
      </c>
      <c r="D631" s="1" t="s">
        <v>18</v>
      </c>
      <c r="E631" s="1">
        <v>0</v>
      </c>
      <c r="F631" s="28">
        <v>0</v>
      </c>
      <c r="G631" s="28">
        <v>0</v>
      </c>
      <c r="H631" s="1">
        <v>1</v>
      </c>
      <c r="I631" s="1">
        <v>7</v>
      </c>
      <c r="J631" s="1">
        <v>0</v>
      </c>
      <c r="K631" s="1">
        <v>0</v>
      </c>
      <c r="L631" s="1">
        <v>2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</row>
    <row r="632" spans="2:19" x14ac:dyDescent="0.35">
      <c r="B632" s="1">
        <v>3682</v>
      </c>
      <c r="C632" s="1" t="s">
        <v>17</v>
      </c>
      <c r="D632" s="1" t="s">
        <v>20</v>
      </c>
      <c r="E632" s="1">
        <v>0</v>
      </c>
      <c r="F632" s="28">
        <v>0</v>
      </c>
      <c r="G632" s="28">
        <v>0</v>
      </c>
      <c r="H632" s="1">
        <v>0</v>
      </c>
      <c r="I632" s="1">
        <v>1</v>
      </c>
      <c r="J632" s="1">
        <v>0</v>
      </c>
      <c r="K632" s="1">
        <v>0</v>
      </c>
      <c r="L632" s="1">
        <v>1</v>
      </c>
      <c r="M632" s="1">
        <v>0</v>
      </c>
      <c r="N632" s="1">
        <v>8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</row>
    <row r="633" spans="2:19" x14ac:dyDescent="0.35">
      <c r="B633" s="1">
        <v>3683</v>
      </c>
      <c r="C633" s="1" t="s">
        <v>17</v>
      </c>
      <c r="D633" s="1" t="s">
        <v>20</v>
      </c>
      <c r="E633" s="1">
        <v>0</v>
      </c>
      <c r="F633" s="28">
        <v>0</v>
      </c>
      <c r="G633" s="28">
        <v>0</v>
      </c>
      <c r="H633" s="1">
        <v>0</v>
      </c>
      <c r="I633" s="1">
        <v>0</v>
      </c>
      <c r="J633" s="1">
        <v>0</v>
      </c>
      <c r="K633" s="1">
        <v>0</v>
      </c>
      <c r="L633" s="1">
        <v>5</v>
      </c>
      <c r="M633" s="1">
        <v>0</v>
      </c>
      <c r="N633" s="1">
        <v>2</v>
      </c>
      <c r="O633" s="1">
        <v>3</v>
      </c>
      <c r="P633" s="1">
        <v>0</v>
      </c>
      <c r="Q633" s="1">
        <v>0</v>
      </c>
      <c r="R633" s="1">
        <v>0</v>
      </c>
      <c r="S633" s="1">
        <v>0</v>
      </c>
    </row>
    <row r="634" spans="2:19" x14ac:dyDescent="0.35">
      <c r="B634" s="1">
        <v>3684</v>
      </c>
      <c r="C634" s="1" t="s">
        <v>19</v>
      </c>
      <c r="D634" s="1" t="s">
        <v>18</v>
      </c>
      <c r="E634" s="1">
        <v>0</v>
      </c>
      <c r="F634" s="28">
        <v>0</v>
      </c>
      <c r="G634" s="28">
        <v>0</v>
      </c>
      <c r="H634" s="1">
        <v>0</v>
      </c>
      <c r="I634" s="1">
        <v>5</v>
      </c>
      <c r="J634" s="1">
        <v>2</v>
      </c>
      <c r="K634" s="1">
        <v>0</v>
      </c>
      <c r="L634" s="1">
        <v>3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</row>
    <row r="635" spans="2:19" x14ac:dyDescent="0.35">
      <c r="B635" s="1">
        <v>3685</v>
      </c>
      <c r="C635" s="1" t="s">
        <v>21</v>
      </c>
      <c r="D635" s="1" t="s">
        <v>18</v>
      </c>
      <c r="E635" s="1">
        <v>0</v>
      </c>
      <c r="F635" s="28">
        <v>0</v>
      </c>
      <c r="G635" s="28">
        <v>0</v>
      </c>
      <c r="H635" s="1">
        <v>0</v>
      </c>
      <c r="I635" s="1">
        <v>2</v>
      </c>
      <c r="J635" s="1">
        <v>2</v>
      </c>
      <c r="K635" s="1">
        <v>0</v>
      </c>
      <c r="L635" s="1">
        <v>6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</row>
    <row r="636" spans="2:19" x14ac:dyDescent="0.35">
      <c r="B636" s="1">
        <v>3686</v>
      </c>
      <c r="C636" s="1" t="s">
        <v>17</v>
      </c>
      <c r="D636" s="1" t="s">
        <v>20</v>
      </c>
      <c r="E636" s="1">
        <v>0</v>
      </c>
      <c r="F636" s="28">
        <v>0</v>
      </c>
      <c r="G636" s="28">
        <v>0</v>
      </c>
      <c r="H636" s="1">
        <v>0</v>
      </c>
      <c r="I636" s="1">
        <v>7</v>
      </c>
      <c r="J636" s="1">
        <v>0</v>
      </c>
      <c r="K636" s="1">
        <v>0</v>
      </c>
      <c r="L636" s="1">
        <v>2</v>
      </c>
      <c r="M636" s="1">
        <v>0</v>
      </c>
      <c r="N636" s="1">
        <v>0</v>
      </c>
      <c r="O636" s="1">
        <v>1</v>
      </c>
      <c r="P636" s="1">
        <v>0</v>
      </c>
      <c r="Q636" s="1">
        <v>0</v>
      </c>
      <c r="R636" s="1">
        <v>0</v>
      </c>
      <c r="S636" s="1">
        <v>0</v>
      </c>
    </row>
    <row r="637" spans="2:19" x14ac:dyDescent="0.35">
      <c r="B637" s="1">
        <v>3687</v>
      </c>
      <c r="C637" s="1" t="s">
        <v>17</v>
      </c>
      <c r="D637" s="1" t="s">
        <v>20</v>
      </c>
      <c r="E637" s="1">
        <v>0</v>
      </c>
      <c r="F637" s="28">
        <v>0</v>
      </c>
      <c r="G637" s="28">
        <v>0</v>
      </c>
      <c r="H637" s="1">
        <v>0</v>
      </c>
      <c r="I637" s="1">
        <v>8</v>
      </c>
      <c r="J637" s="1">
        <v>0</v>
      </c>
      <c r="K637" s="1">
        <v>0</v>
      </c>
      <c r="L637" s="1">
        <v>1</v>
      </c>
      <c r="M637" s="1">
        <v>1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</row>
    <row r="638" spans="2:19" x14ac:dyDescent="0.35">
      <c r="B638" s="1">
        <v>3688</v>
      </c>
      <c r="C638" s="1" t="s">
        <v>19</v>
      </c>
      <c r="D638" s="1" t="s">
        <v>18</v>
      </c>
      <c r="E638" s="1">
        <v>0</v>
      </c>
      <c r="F638" s="28">
        <v>0</v>
      </c>
      <c r="G638" s="28">
        <v>0</v>
      </c>
      <c r="H638" s="1">
        <v>0</v>
      </c>
      <c r="I638" s="1">
        <v>1</v>
      </c>
      <c r="J638" s="1">
        <v>0</v>
      </c>
      <c r="K638" s="1">
        <v>0</v>
      </c>
      <c r="L638" s="1">
        <v>0</v>
      </c>
      <c r="M638" s="1">
        <v>0</v>
      </c>
      <c r="N638" s="1">
        <v>8</v>
      </c>
      <c r="O638" s="1">
        <v>1</v>
      </c>
      <c r="P638" s="1">
        <v>0</v>
      </c>
      <c r="Q638" s="1">
        <v>0</v>
      </c>
      <c r="R638" s="1">
        <v>0</v>
      </c>
      <c r="S638" s="1">
        <v>0</v>
      </c>
    </row>
    <row r="639" spans="2:19" x14ac:dyDescent="0.35">
      <c r="B639" s="1">
        <v>3689</v>
      </c>
      <c r="C639" s="1" t="s">
        <v>21</v>
      </c>
      <c r="D639" s="1" t="s">
        <v>18</v>
      </c>
      <c r="E639" s="1">
        <v>0</v>
      </c>
      <c r="F639" s="28">
        <v>0</v>
      </c>
      <c r="G639" s="28">
        <v>0</v>
      </c>
      <c r="H639" s="1">
        <v>0</v>
      </c>
      <c r="I639" s="1">
        <v>3</v>
      </c>
      <c r="J639" s="1">
        <v>0</v>
      </c>
      <c r="K639" s="1">
        <v>0</v>
      </c>
      <c r="L639" s="1">
        <v>1</v>
      </c>
      <c r="M639" s="1">
        <v>0</v>
      </c>
      <c r="N639" s="1">
        <v>6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</row>
    <row r="640" spans="2:19" x14ac:dyDescent="0.35">
      <c r="B640" s="1">
        <v>3690</v>
      </c>
      <c r="C640" s="1" t="s">
        <v>17</v>
      </c>
      <c r="D640" s="1" t="s">
        <v>20</v>
      </c>
      <c r="E640" s="1">
        <v>0</v>
      </c>
      <c r="F640" s="28">
        <v>0</v>
      </c>
      <c r="G640" s="28">
        <v>0</v>
      </c>
      <c r="H640" s="1">
        <v>0</v>
      </c>
      <c r="I640" s="1">
        <v>3</v>
      </c>
      <c r="J640" s="1">
        <v>1</v>
      </c>
      <c r="K640" s="1">
        <v>0</v>
      </c>
      <c r="L640" s="1">
        <v>0</v>
      </c>
      <c r="M640" s="1">
        <v>0</v>
      </c>
      <c r="N640" s="1">
        <v>6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</row>
    <row r="641" spans="2:19" x14ac:dyDescent="0.35">
      <c r="B641" s="1">
        <v>3691</v>
      </c>
      <c r="C641" s="1" t="s">
        <v>23</v>
      </c>
      <c r="D641" s="1" t="s">
        <v>20</v>
      </c>
      <c r="E641" s="1">
        <v>0</v>
      </c>
      <c r="F641" s="28">
        <v>0</v>
      </c>
      <c r="G641" s="28">
        <v>0</v>
      </c>
      <c r="H641" s="1">
        <v>1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5</v>
      </c>
      <c r="P641" s="1">
        <v>4</v>
      </c>
      <c r="Q641" s="1">
        <v>0</v>
      </c>
      <c r="R641" s="1">
        <v>0</v>
      </c>
      <c r="S641" s="1">
        <v>0</v>
      </c>
    </row>
    <row r="642" spans="2:19" x14ac:dyDescent="0.35">
      <c r="B642" s="1">
        <v>3692</v>
      </c>
      <c r="C642" s="1" t="s">
        <v>17</v>
      </c>
      <c r="D642" s="1" t="s">
        <v>18</v>
      </c>
      <c r="E642" s="1">
        <v>0</v>
      </c>
      <c r="F642" s="28">
        <v>0</v>
      </c>
      <c r="G642" s="28">
        <v>0</v>
      </c>
      <c r="H642" s="1">
        <v>0</v>
      </c>
      <c r="I642" s="1">
        <v>0</v>
      </c>
      <c r="J642" s="1">
        <v>0</v>
      </c>
      <c r="K642" s="1">
        <v>0</v>
      </c>
      <c r="L642" s="1">
        <v>1</v>
      </c>
      <c r="M642" s="1">
        <v>0</v>
      </c>
      <c r="N642" s="1">
        <v>5</v>
      </c>
      <c r="O642" s="1">
        <v>4</v>
      </c>
      <c r="P642" s="1">
        <v>0</v>
      </c>
      <c r="Q642" s="1">
        <v>0</v>
      </c>
      <c r="R642" s="1">
        <v>0</v>
      </c>
      <c r="S642" s="1">
        <v>0</v>
      </c>
    </row>
    <row r="643" spans="2:19" x14ac:dyDescent="0.35">
      <c r="B643" s="1">
        <v>3693</v>
      </c>
      <c r="C643" s="1" t="s">
        <v>21</v>
      </c>
      <c r="D643" s="1" t="s">
        <v>20</v>
      </c>
      <c r="E643" s="1">
        <v>0</v>
      </c>
      <c r="F643" s="28">
        <v>0</v>
      </c>
      <c r="G643" s="28">
        <v>0</v>
      </c>
      <c r="H643" s="1">
        <v>1</v>
      </c>
      <c r="I643" s="1">
        <v>0</v>
      </c>
      <c r="J643" s="1">
        <v>1</v>
      </c>
      <c r="K643" s="1">
        <v>0</v>
      </c>
      <c r="L643" s="1">
        <v>0</v>
      </c>
      <c r="M643" s="1">
        <v>0</v>
      </c>
      <c r="N643" s="1">
        <v>0</v>
      </c>
      <c r="O643" s="1">
        <v>8</v>
      </c>
      <c r="P643" s="1">
        <v>0</v>
      </c>
      <c r="Q643" s="1">
        <v>0</v>
      </c>
      <c r="R643" s="1">
        <v>0</v>
      </c>
      <c r="S643" s="1">
        <v>0</v>
      </c>
    </row>
    <row r="644" spans="2:19" x14ac:dyDescent="0.35">
      <c r="B644" s="1">
        <v>3694</v>
      </c>
      <c r="C644" s="1" t="s">
        <v>19</v>
      </c>
      <c r="D644" s="1" t="s">
        <v>18</v>
      </c>
      <c r="E644" s="1">
        <v>0</v>
      </c>
      <c r="F644" s="28">
        <v>0</v>
      </c>
      <c r="G644" s="28">
        <v>0</v>
      </c>
      <c r="H644" s="1">
        <v>0</v>
      </c>
      <c r="I644" s="1">
        <v>5</v>
      </c>
      <c r="J644" s="1">
        <v>2</v>
      </c>
      <c r="K644" s="1">
        <v>0</v>
      </c>
      <c r="L644" s="1">
        <v>0</v>
      </c>
      <c r="M644" s="1">
        <v>0</v>
      </c>
      <c r="N644" s="1">
        <v>0</v>
      </c>
      <c r="O644" s="1">
        <v>0</v>
      </c>
      <c r="P644" s="1">
        <v>3</v>
      </c>
      <c r="Q644" s="1">
        <v>0</v>
      </c>
      <c r="R644" s="1">
        <v>0</v>
      </c>
      <c r="S644" s="1">
        <v>0</v>
      </c>
    </row>
    <row r="645" spans="2:19" x14ac:dyDescent="0.35">
      <c r="B645" s="1">
        <v>3695</v>
      </c>
      <c r="C645" s="1" t="s">
        <v>17</v>
      </c>
      <c r="D645" s="1" t="s">
        <v>18</v>
      </c>
      <c r="E645" s="1">
        <v>0</v>
      </c>
      <c r="F645" s="28">
        <v>0</v>
      </c>
      <c r="G645" s="28">
        <v>0</v>
      </c>
      <c r="H645" s="1">
        <v>0</v>
      </c>
      <c r="I645" s="1">
        <v>5</v>
      </c>
      <c r="J645" s="1">
        <v>0</v>
      </c>
      <c r="K645" s="1">
        <v>0</v>
      </c>
      <c r="L645" s="1">
        <v>0</v>
      </c>
      <c r="M645" s="1">
        <v>2</v>
      </c>
      <c r="N645" s="1">
        <v>0</v>
      </c>
      <c r="O645" s="1">
        <v>0</v>
      </c>
      <c r="P645" s="1">
        <v>3</v>
      </c>
      <c r="Q645" s="1">
        <v>0</v>
      </c>
      <c r="R645" s="1">
        <v>0</v>
      </c>
      <c r="S645" s="1">
        <v>0</v>
      </c>
    </row>
    <row r="646" spans="2:19" x14ac:dyDescent="0.35">
      <c r="B646" s="1">
        <v>3696</v>
      </c>
      <c r="C646" s="1" t="s">
        <v>21</v>
      </c>
      <c r="D646" s="1" t="s">
        <v>20</v>
      </c>
      <c r="E646" s="1">
        <v>0</v>
      </c>
      <c r="F646" s="28">
        <v>0</v>
      </c>
      <c r="G646" s="28">
        <v>0</v>
      </c>
      <c r="H646" s="1">
        <v>0</v>
      </c>
      <c r="I646" s="1">
        <v>7</v>
      </c>
      <c r="J646" s="1">
        <v>0</v>
      </c>
      <c r="K646" s="1">
        <v>0</v>
      </c>
      <c r="L646" s="1">
        <v>1</v>
      </c>
      <c r="M646" s="1">
        <v>0</v>
      </c>
      <c r="N646" s="1">
        <v>0</v>
      </c>
      <c r="O646" s="1">
        <v>0</v>
      </c>
      <c r="P646" s="1">
        <v>2</v>
      </c>
      <c r="Q646" s="1">
        <v>0</v>
      </c>
      <c r="R646" s="1">
        <v>0</v>
      </c>
      <c r="S646" s="1">
        <v>0</v>
      </c>
    </row>
    <row r="647" spans="2:19" x14ac:dyDescent="0.35">
      <c r="B647" s="1">
        <v>3697</v>
      </c>
      <c r="C647" s="1" t="s">
        <v>21</v>
      </c>
      <c r="D647" s="1" t="s">
        <v>20</v>
      </c>
      <c r="E647" s="1">
        <v>0</v>
      </c>
      <c r="F647" s="28">
        <v>0</v>
      </c>
      <c r="G647" s="28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  <c r="M647" s="1">
        <v>6</v>
      </c>
      <c r="N647" s="1">
        <v>0</v>
      </c>
      <c r="O647" s="1">
        <v>0</v>
      </c>
      <c r="P647" s="1">
        <v>4</v>
      </c>
      <c r="Q647" s="1">
        <v>0</v>
      </c>
      <c r="R647" s="1">
        <v>0</v>
      </c>
      <c r="S647" s="1">
        <v>0</v>
      </c>
    </row>
    <row r="648" spans="2:19" x14ac:dyDescent="0.35">
      <c r="B648" s="1">
        <v>3698</v>
      </c>
      <c r="C648" s="1" t="s">
        <v>17</v>
      </c>
      <c r="D648" s="1" t="s">
        <v>20</v>
      </c>
      <c r="E648" s="1">
        <v>0</v>
      </c>
      <c r="F648" s="28">
        <v>0</v>
      </c>
      <c r="G648" s="28">
        <v>0</v>
      </c>
      <c r="H648" s="1">
        <v>0</v>
      </c>
      <c r="I648" s="1">
        <v>5</v>
      </c>
      <c r="J648" s="1">
        <v>0</v>
      </c>
      <c r="K648" s="1">
        <v>0</v>
      </c>
      <c r="L648" s="1">
        <v>0</v>
      </c>
      <c r="M648" s="1">
        <v>2</v>
      </c>
      <c r="N648" s="1">
        <v>0</v>
      </c>
      <c r="O648" s="1">
        <v>0</v>
      </c>
      <c r="P648" s="1">
        <v>3</v>
      </c>
      <c r="Q648" s="1">
        <v>0</v>
      </c>
      <c r="R648" s="1">
        <v>0</v>
      </c>
      <c r="S648" s="1">
        <v>0</v>
      </c>
    </row>
    <row r="649" spans="2:19" x14ac:dyDescent="0.35">
      <c r="B649" s="1">
        <v>3699</v>
      </c>
      <c r="C649" s="1" t="s">
        <v>17</v>
      </c>
      <c r="D649" s="1" t="s">
        <v>20</v>
      </c>
      <c r="E649" s="1">
        <v>0</v>
      </c>
      <c r="F649" s="28">
        <v>0</v>
      </c>
      <c r="G649" s="28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  <c r="M649" s="1">
        <v>1</v>
      </c>
      <c r="N649" s="1">
        <v>1</v>
      </c>
      <c r="O649" s="1">
        <v>0</v>
      </c>
      <c r="P649" s="1">
        <v>8</v>
      </c>
      <c r="Q649" s="1">
        <v>0</v>
      </c>
      <c r="R649" s="1">
        <v>0</v>
      </c>
      <c r="S649" s="1">
        <v>0</v>
      </c>
    </row>
    <row r="650" spans="2:19" x14ac:dyDescent="0.35">
      <c r="B650" s="1">
        <v>3700</v>
      </c>
      <c r="C650" s="1" t="s">
        <v>19</v>
      </c>
      <c r="D650" s="1" t="s">
        <v>18</v>
      </c>
      <c r="E650" s="1">
        <v>0</v>
      </c>
      <c r="F650" s="28">
        <v>0</v>
      </c>
      <c r="G650" s="28">
        <v>0</v>
      </c>
      <c r="H650" s="1">
        <v>1</v>
      </c>
      <c r="I650" s="1">
        <v>0</v>
      </c>
      <c r="J650" s="1">
        <v>0</v>
      </c>
      <c r="K650" s="1">
        <v>0</v>
      </c>
      <c r="L650" s="1">
        <v>0</v>
      </c>
      <c r="M650" s="1">
        <v>0</v>
      </c>
      <c r="N650" s="1">
        <v>4</v>
      </c>
      <c r="O650" s="1">
        <v>0</v>
      </c>
      <c r="P650" s="1">
        <v>5</v>
      </c>
      <c r="Q650" s="1">
        <v>0</v>
      </c>
      <c r="R650" s="1">
        <v>0</v>
      </c>
      <c r="S650" s="1">
        <v>0</v>
      </c>
    </row>
    <row r="651" spans="2:19" x14ac:dyDescent="0.35">
      <c r="B651" s="1">
        <v>3701</v>
      </c>
      <c r="C651" s="1" t="s">
        <v>19</v>
      </c>
      <c r="D651" s="1" t="s">
        <v>20</v>
      </c>
      <c r="E651" s="1">
        <v>0</v>
      </c>
      <c r="F651" s="28">
        <v>0</v>
      </c>
      <c r="G651" s="28">
        <v>0</v>
      </c>
      <c r="H651" s="1">
        <v>0</v>
      </c>
      <c r="I651" s="1">
        <v>1</v>
      </c>
      <c r="J651" s="1">
        <v>0</v>
      </c>
      <c r="K651" s="1">
        <v>0</v>
      </c>
      <c r="L651" s="1">
        <v>0</v>
      </c>
      <c r="M651" s="1">
        <v>4</v>
      </c>
      <c r="N651" s="1">
        <v>0</v>
      </c>
      <c r="O651" s="1">
        <v>0</v>
      </c>
      <c r="P651" s="1">
        <v>5</v>
      </c>
      <c r="Q651" s="1">
        <v>0</v>
      </c>
      <c r="R651" s="1">
        <v>0</v>
      </c>
      <c r="S651" s="1">
        <v>0</v>
      </c>
    </row>
    <row r="652" spans="2:19" x14ac:dyDescent="0.35">
      <c r="B652" s="1">
        <v>3702</v>
      </c>
      <c r="C652" s="1" t="s">
        <v>19</v>
      </c>
      <c r="D652" s="1" t="s">
        <v>20</v>
      </c>
      <c r="E652" s="1">
        <v>0</v>
      </c>
      <c r="F652" s="28">
        <v>0</v>
      </c>
      <c r="G652" s="28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  <c r="M652" s="1">
        <v>4</v>
      </c>
      <c r="N652" s="1">
        <v>0</v>
      </c>
      <c r="O652" s="1">
        <v>0</v>
      </c>
      <c r="P652" s="1">
        <v>6</v>
      </c>
      <c r="Q652" s="1">
        <v>0</v>
      </c>
      <c r="R652" s="1">
        <v>0</v>
      </c>
      <c r="S652" s="1">
        <v>0</v>
      </c>
    </row>
    <row r="653" spans="2:19" x14ac:dyDescent="0.35">
      <c r="B653" s="1">
        <v>3703</v>
      </c>
      <c r="C653" s="1" t="s">
        <v>23</v>
      </c>
      <c r="D653" s="1" t="s">
        <v>18</v>
      </c>
      <c r="E653" s="1">
        <v>0</v>
      </c>
      <c r="F653" s="28">
        <v>0</v>
      </c>
      <c r="G653" s="28">
        <v>0</v>
      </c>
      <c r="H653" s="1">
        <v>0</v>
      </c>
      <c r="I653" s="1">
        <v>0</v>
      </c>
      <c r="J653" s="1">
        <v>0</v>
      </c>
      <c r="K653" s="1">
        <v>0</v>
      </c>
      <c r="L653" s="1">
        <v>0</v>
      </c>
      <c r="M653" s="1">
        <v>7</v>
      </c>
      <c r="N653" s="1">
        <v>0</v>
      </c>
      <c r="O653" s="1">
        <v>0</v>
      </c>
      <c r="P653" s="1">
        <v>2</v>
      </c>
      <c r="Q653" s="1">
        <v>0</v>
      </c>
      <c r="R653" s="1">
        <v>0</v>
      </c>
      <c r="S653" s="1">
        <v>1</v>
      </c>
    </row>
    <row r="654" spans="2:19" x14ac:dyDescent="0.35">
      <c r="B654" s="1">
        <v>3704</v>
      </c>
      <c r="C654" s="1" t="s">
        <v>17</v>
      </c>
      <c r="D654" s="1" t="s">
        <v>20</v>
      </c>
      <c r="E654" s="1">
        <v>0</v>
      </c>
      <c r="F654" s="28">
        <v>0</v>
      </c>
      <c r="G654" s="28">
        <v>0</v>
      </c>
      <c r="H654" s="1">
        <v>0</v>
      </c>
      <c r="I654" s="1">
        <v>6</v>
      </c>
      <c r="J654" s="1">
        <v>0</v>
      </c>
      <c r="K654" s="1">
        <v>0</v>
      </c>
      <c r="L654" s="1">
        <v>0</v>
      </c>
      <c r="M654" s="1">
        <v>1</v>
      </c>
      <c r="N654" s="1">
        <v>0</v>
      </c>
      <c r="O654" s="1">
        <v>0</v>
      </c>
      <c r="P654" s="1">
        <v>3</v>
      </c>
      <c r="Q654" s="1">
        <v>0</v>
      </c>
      <c r="R654" s="1">
        <v>0</v>
      </c>
      <c r="S654" s="1">
        <v>0</v>
      </c>
    </row>
    <row r="655" spans="2:19" x14ac:dyDescent="0.35">
      <c r="B655" s="1">
        <v>3705</v>
      </c>
      <c r="C655" s="1" t="s">
        <v>23</v>
      </c>
      <c r="D655" s="1" t="s">
        <v>20</v>
      </c>
      <c r="E655" s="1">
        <v>0</v>
      </c>
      <c r="F655" s="28">
        <v>2</v>
      </c>
      <c r="G655" s="28">
        <v>2</v>
      </c>
      <c r="H655" s="1">
        <v>0</v>
      </c>
      <c r="I655" s="1">
        <v>0</v>
      </c>
      <c r="J655" s="1">
        <v>0</v>
      </c>
      <c r="K655" s="1">
        <v>0</v>
      </c>
      <c r="L655" s="1">
        <v>0</v>
      </c>
      <c r="M655" s="1">
        <v>0</v>
      </c>
      <c r="N655" s="1">
        <v>0</v>
      </c>
      <c r="O655" s="1">
        <v>0</v>
      </c>
      <c r="P655" s="1">
        <v>6</v>
      </c>
      <c r="Q655" s="1">
        <v>0</v>
      </c>
      <c r="R655" s="1">
        <v>0</v>
      </c>
      <c r="S655" s="1">
        <v>0</v>
      </c>
    </row>
    <row r="656" spans="2:19" x14ac:dyDescent="0.35">
      <c r="B656" s="1">
        <v>3706</v>
      </c>
      <c r="C656" s="1" t="s">
        <v>23</v>
      </c>
      <c r="D656" s="1" t="s">
        <v>20</v>
      </c>
      <c r="E656" s="1">
        <v>0</v>
      </c>
      <c r="F656" s="28">
        <v>0</v>
      </c>
      <c r="G656" s="28">
        <v>0</v>
      </c>
      <c r="H656" s="1">
        <v>0</v>
      </c>
      <c r="I656" s="1">
        <v>8</v>
      </c>
      <c r="J656" s="1">
        <v>0</v>
      </c>
      <c r="K656" s="1">
        <v>0</v>
      </c>
      <c r="L656" s="1">
        <v>0</v>
      </c>
      <c r="M656" s="1">
        <v>0</v>
      </c>
      <c r="N656" s="1">
        <v>0</v>
      </c>
      <c r="O656" s="1">
        <v>0</v>
      </c>
      <c r="P656" s="1">
        <v>1</v>
      </c>
      <c r="Q656" s="1">
        <v>0</v>
      </c>
      <c r="R656" s="1">
        <v>0</v>
      </c>
      <c r="S656" s="1">
        <v>1</v>
      </c>
    </row>
    <row r="657" spans="2:19" x14ac:dyDescent="0.35">
      <c r="B657" s="1">
        <v>3707</v>
      </c>
      <c r="C657" s="1" t="s">
        <v>17</v>
      </c>
      <c r="D657" s="1" t="s">
        <v>20</v>
      </c>
      <c r="E657" s="1">
        <v>0</v>
      </c>
      <c r="F657" s="28">
        <v>0</v>
      </c>
      <c r="G657" s="28">
        <v>0</v>
      </c>
      <c r="H657" s="1">
        <v>0</v>
      </c>
      <c r="I657" s="1">
        <v>1</v>
      </c>
      <c r="J657" s="1">
        <v>0</v>
      </c>
      <c r="K657" s="1">
        <v>0</v>
      </c>
      <c r="L657" s="1">
        <v>0</v>
      </c>
      <c r="M657" s="1">
        <v>7</v>
      </c>
      <c r="N657" s="1">
        <v>0</v>
      </c>
      <c r="O657" s="1">
        <v>0</v>
      </c>
      <c r="P657" s="1">
        <v>2</v>
      </c>
      <c r="Q657" s="1">
        <v>0</v>
      </c>
      <c r="R657" s="1">
        <v>0</v>
      </c>
      <c r="S657" s="1">
        <v>0</v>
      </c>
    </row>
    <row r="658" spans="2:19" x14ac:dyDescent="0.35">
      <c r="B658" s="1">
        <v>3708</v>
      </c>
      <c r="C658" s="1" t="s">
        <v>17</v>
      </c>
      <c r="D658" s="1" t="s">
        <v>18</v>
      </c>
      <c r="E658" s="1">
        <v>0</v>
      </c>
      <c r="F658" s="28">
        <v>0</v>
      </c>
      <c r="G658" s="28">
        <v>0</v>
      </c>
      <c r="H658" s="1">
        <v>0</v>
      </c>
      <c r="I658" s="1">
        <v>5</v>
      </c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5</v>
      </c>
      <c r="Q658" s="1">
        <v>0</v>
      </c>
      <c r="R658" s="1">
        <v>0</v>
      </c>
      <c r="S658" s="1">
        <v>0</v>
      </c>
    </row>
    <row r="659" spans="2:19" x14ac:dyDescent="0.35">
      <c r="B659" s="1">
        <v>3709</v>
      </c>
      <c r="C659" s="1" t="s">
        <v>22</v>
      </c>
      <c r="D659" s="1" t="s">
        <v>18</v>
      </c>
      <c r="E659" s="1">
        <v>0</v>
      </c>
      <c r="F659" s="28">
        <v>3</v>
      </c>
      <c r="G659" s="28">
        <v>0</v>
      </c>
      <c r="H659" s="1">
        <v>1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6</v>
      </c>
      <c r="Q659" s="1">
        <v>0</v>
      </c>
      <c r="R659" s="1">
        <v>0</v>
      </c>
      <c r="S659" s="1">
        <v>0</v>
      </c>
    </row>
    <row r="660" spans="2:19" x14ac:dyDescent="0.35">
      <c r="B660" s="1">
        <v>3710</v>
      </c>
      <c r="C660" s="1" t="s">
        <v>17</v>
      </c>
      <c r="D660" s="1" t="s">
        <v>18</v>
      </c>
      <c r="E660" s="1">
        <v>0</v>
      </c>
      <c r="F660" s="28">
        <v>0</v>
      </c>
      <c r="G660" s="28">
        <v>0</v>
      </c>
      <c r="H660" s="1">
        <v>0</v>
      </c>
      <c r="I660" s="1">
        <v>6</v>
      </c>
      <c r="J660" s="1">
        <v>0</v>
      </c>
      <c r="K660" s="1">
        <v>0</v>
      </c>
      <c r="L660" s="1">
        <v>0</v>
      </c>
      <c r="M660" s="1">
        <v>2</v>
      </c>
      <c r="N660" s="1">
        <v>0</v>
      </c>
      <c r="O660" s="1">
        <v>0</v>
      </c>
      <c r="P660" s="1">
        <v>2</v>
      </c>
      <c r="Q660" s="1">
        <v>0</v>
      </c>
      <c r="R660" s="1">
        <v>0</v>
      </c>
      <c r="S660" s="1">
        <v>0</v>
      </c>
    </row>
    <row r="661" spans="2:19" x14ac:dyDescent="0.35">
      <c r="B661" s="1">
        <v>3711</v>
      </c>
      <c r="C661" s="1" t="s">
        <v>17</v>
      </c>
      <c r="D661" s="1" t="s">
        <v>20</v>
      </c>
      <c r="E661" s="1">
        <v>0</v>
      </c>
      <c r="F661" s="28">
        <v>0</v>
      </c>
      <c r="G661" s="28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7</v>
      </c>
      <c r="N661" s="1">
        <v>0</v>
      </c>
      <c r="O661" s="1">
        <v>0</v>
      </c>
      <c r="P661" s="1">
        <v>3</v>
      </c>
      <c r="Q661" s="1">
        <v>0</v>
      </c>
      <c r="R661" s="1">
        <v>0</v>
      </c>
      <c r="S661" s="1">
        <v>0</v>
      </c>
    </row>
    <row r="662" spans="2:19" x14ac:dyDescent="0.35">
      <c r="B662" s="1">
        <v>3712</v>
      </c>
      <c r="C662" s="1" t="s">
        <v>19</v>
      </c>
      <c r="D662" s="1" t="s">
        <v>18</v>
      </c>
      <c r="E662" s="1">
        <v>0</v>
      </c>
      <c r="F662" s="28">
        <v>0</v>
      </c>
      <c r="G662" s="28">
        <v>0</v>
      </c>
      <c r="H662" s="1">
        <v>0</v>
      </c>
      <c r="I662" s="1">
        <v>5</v>
      </c>
      <c r="J662" s="1">
        <v>0</v>
      </c>
      <c r="K662" s="1">
        <v>0</v>
      </c>
      <c r="L662" s="1">
        <v>0</v>
      </c>
      <c r="M662" s="1">
        <v>0</v>
      </c>
      <c r="N662" s="1">
        <v>1</v>
      </c>
      <c r="O662" s="1">
        <v>0</v>
      </c>
      <c r="P662" s="1">
        <v>4</v>
      </c>
      <c r="Q662" s="1">
        <v>0</v>
      </c>
      <c r="R662" s="1">
        <v>0</v>
      </c>
      <c r="S662" s="1">
        <v>0</v>
      </c>
    </row>
    <row r="663" spans="2:19" x14ac:dyDescent="0.35">
      <c r="B663" s="1">
        <v>3713</v>
      </c>
      <c r="C663" s="1" t="s">
        <v>19</v>
      </c>
      <c r="D663" s="1" t="s">
        <v>20</v>
      </c>
      <c r="E663" s="1">
        <v>4</v>
      </c>
      <c r="F663" s="28">
        <v>0</v>
      </c>
      <c r="G663" s="28">
        <v>0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0</v>
      </c>
      <c r="P663" s="1">
        <v>5</v>
      </c>
      <c r="Q663" s="1">
        <v>0</v>
      </c>
      <c r="R663" s="1">
        <v>0</v>
      </c>
      <c r="S663" s="1">
        <v>1</v>
      </c>
    </row>
    <row r="664" spans="2:19" x14ac:dyDescent="0.35">
      <c r="B664" s="1">
        <v>3714</v>
      </c>
      <c r="C664" s="1" t="s">
        <v>17</v>
      </c>
      <c r="D664" s="1" t="s">
        <v>20</v>
      </c>
      <c r="E664" s="1">
        <v>0</v>
      </c>
      <c r="F664" s="28">
        <v>0</v>
      </c>
      <c r="G664" s="28">
        <v>0</v>
      </c>
      <c r="H664" s="1">
        <v>0</v>
      </c>
      <c r="I664" s="1">
        <v>7</v>
      </c>
      <c r="J664" s="1">
        <v>1</v>
      </c>
      <c r="K664" s="1">
        <v>0</v>
      </c>
      <c r="L664" s="1">
        <v>0</v>
      </c>
      <c r="M664" s="1">
        <v>0</v>
      </c>
      <c r="N664" s="1">
        <v>0</v>
      </c>
      <c r="O664" s="1">
        <v>0</v>
      </c>
      <c r="P664" s="1">
        <v>2</v>
      </c>
      <c r="Q664" s="1">
        <v>0</v>
      </c>
      <c r="R664" s="1">
        <v>0</v>
      </c>
      <c r="S664" s="1">
        <v>0</v>
      </c>
    </row>
    <row r="665" spans="2:19" x14ac:dyDescent="0.35">
      <c r="B665" s="1">
        <v>3715</v>
      </c>
      <c r="C665" s="1" t="s">
        <v>17</v>
      </c>
      <c r="D665" s="1" t="s">
        <v>20</v>
      </c>
      <c r="E665" s="1">
        <v>0</v>
      </c>
      <c r="F665" s="28">
        <v>2</v>
      </c>
      <c r="G665" s="28">
        <v>0</v>
      </c>
      <c r="H665" s="1">
        <v>0</v>
      </c>
      <c r="I665" s="1">
        <v>2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0</v>
      </c>
      <c r="P665" s="1">
        <v>6</v>
      </c>
      <c r="Q665" s="1">
        <v>0</v>
      </c>
      <c r="R665" s="1">
        <v>0</v>
      </c>
      <c r="S665" s="1">
        <v>0</v>
      </c>
    </row>
    <row r="666" spans="2:19" x14ac:dyDescent="0.35">
      <c r="B666" s="1">
        <v>3716</v>
      </c>
      <c r="C666" s="1" t="s">
        <v>17</v>
      </c>
      <c r="D666" s="1" t="s">
        <v>18</v>
      </c>
      <c r="E666" s="1">
        <v>0</v>
      </c>
      <c r="F666" s="28">
        <v>0</v>
      </c>
      <c r="G666" s="28">
        <v>0</v>
      </c>
      <c r="H666" s="1">
        <v>0</v>
      </c>
      <c r="I666" s="1">
        <v>0</v>
      </c>
      <c r="J666" s="1">
        <v>7</v>
      </c>
      <c r="K666" s="1">
        <v>1</v>
      </c>
      <c r="L666" s="1">
        <v>0</v>
      </c>
      <c r="M666" s="1">
        <v>0</v>
      </c>
      <c r="N666" s="1">
        <v>0</v>
      </c>
      <c r="O666" s="1">
        <v>0</v>
      </c>
      <c r="P666" s="1">
        <v>2</v>
      </c>
      <c r="Q666" s="1">
        <v>0</v>
      </c>
      <c r="R666" s="1">
        <v>0</v>
      </c>
      <c r="S666" s="1">
        <v>0</v>
      </c>
    </row>
    <row r="667" spans="2:19" x14ac:dyDescent="0.35">
      <c r="B667" s="1">
        <v>3717</v>
      </c>
      <c r="C667" s="1" t="s">
        <v>22</v>
      </c>
      <c r="D667" s="1" t="s">
        <v>20</v>
      </c>
      <c r="E667" s="1">
        <v>0</v>
      </c>
      <c r="F667" s="28">
        <v>0</v>
      </c>
      <c r="G667" s="28">
        <v>0</v>
      </c>
      <c r="H667" s="1">
        <v>0</v>
      </c>
      <c r="I667" s="1">
        <v>1</v>
      </c>
      <c r="J667" s="1">
        <v>5</v>
      </c>
      <c r="K667" s="1">
        <v>0</v>
      </c>
      <c r="L667" s="1">
        <v>0</v>
      </c>
      <c r="M667" s="1">
        <v>0</v>
      </c>
      <c r="N667" s="1">
        <v>4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</row>
    <row r="668" spans="2:19" x14ac:dyDescent="0.35">
      <c r="B668" s="1">
        <v>3718</v>
      </c>
      <c r="C668" s="1" t="s">
        <v>26</v>
      </c>
      <c r="D668" s="1" t="s">
        <v>20</v>
      </c>
      <c r="E668" s="1">
        <v>0</v>
      </c>
      <c r="F668" s="28">
        <v>0</v>
      </c>
      <c r="G668" s="28">
        <v>0</v>
      </c>
      <c r="H668" s="1">
        <v>0</v>
      </c>
      <c r="I668" s="1">
        <v>0</v>
      </c>
      <c r="J668" s="1">
        <v>5</v>
      </c>
      <c r="K668" s="1">
        <v>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5</v>
      </c>
    </row>
    <row r="669" spans="2:19" x14ac:dyDescent="0.35">
      <c r="B669" s="1">
        <v>3719</v>
      </c>
      <c r="C669" s="1" t="s">
        <v>19</v>
      </c>
      <c r="D669" s="1" t="s">
        <v>18</v>
      </c>
      <c r="E669" s="1">
        <v>0</v>
      </c>
      <c r="F669" s="28">
        <v>0</v>
      </c>
      <c r="G669" s="28">
        <v>0</v>
      </c>
      <c r="H669" s="1">
        <v>0</v>
      </c>
      <c r="I669" s="1">
        <v>0</v>
      </c>
      <c r="J669" s="1">
        <v>5</v>
      </c>
      <c r="K669" s="1">
        <v>0</v>
      </c>
      <c r="L669" s="1">
        <v>1</v>
      </c>
      <c r="M669" s="1">
        <v>0</v>
      </c>
      <c r="N669" s="1">
        <v>0</v>
      </c>
      <c r="O669" s="1">
        <v>0</v>
      </c>
      <c r="P669" s="1">
        <v>4</v>
      </c>
      <c r="Q669" s="1">
        <v>0</v>
      </c>
      <c r="R669" s="1">
        <v>0</v>
      </c>
      <c r="S669" s="1">
        <v>0</v>
      </c>
    </row>
    <row r="670" spans="2:19" x14ac:dyDescent="0.35">
      <c r="B670" s="1">
        <v>3720</v>
      </c>
      <c r="C670" s="1" t="s">
        <v>21</v>
      </c>
      <c r="D670" s="1" t="s">
        <v>18</v>
      </c>
      <c r="E670" s="1">
        <v>0</v>
      </c>
      <c r="F670" s="28">
        <v>0</v>
      </c>
      <c r="G670" s="28">
        <v>0</v>
      </c>
      <c r="H670" s="1">
        <v>0</v>
      </c>
      <c r="I670" s="1">
        <v>0</v>
      </c>
      <c r="J670" s="1">
        <v>8</v>
      </c>
      <c r="K670" s="1">
        <v>0</v>
      </c>
      <c r="L670" s="1">
        <v>0</v>
      </c>
      <c r="M670" s="1">
        <v>0</v>
      </c>
      <c r="N670" s="1">
        <v>1</v>
      </c>
      <c r="O670" s="1">
        <v>1</v>
      </c>
      <c r="P670" s="1">
        <v>0</v>
      </c>
      <c r="Q670" s="1">
        <v>0</v>
      </c>
      <c r="R670" s="1">
        <v>0</v>
      </c>
      <c r="S670" s="1">
        <v>0</v>
      </c>
    </row>
    <row r="671" spans="2:19" x14ac:dyDescent="0.35">
      <c r="B671" s="1">
        <v>3721</v>
      </c>
      <c r="C671" s="1" t="s">
        <v>24</v>
      </c>
      <c r="D671" s="1" t="s">
        <v>20</v>
      </c>
      <c r="E671" s="1">
        <v>0</v>
      </c>
      <c r="F671" s="28">
        <v>0</v>
      </c>
      <c r="G671" s="28">
        <v>0</v>
      </c>
      <c r="H671" s="1">
        <v>0</v>
      </c>
      <c r="I671" s="1">
        <v>0</v>
      </c>
      <c r="J671" s="1">
        <v>5</v>
      </c>
      <c r="K671" s="1">
        <v>0</v>
      </c>
      <c r="L671" s="1">
        <v>0</v>
      </c>
      <c r="M671" s="1">
        <v>0</v>
      </c>
      <c r="N671" s="1">
        <v>1</v>
      </c>
      <c r="O671" s="1">
        <v>4</v>
      </c>
      <c r="P671" s="1">
        <v>0</v>
      </c>
      <c r="Q671" s="1">
        <v>0</v>
      </c>
      <c r="R671" s="1">
        <v>0</v>
      </c>
      <c r="S671" s="1">
        <v>0</v>
      </c>
    </row>
    <row r="672" spans="2:19" x14ac:dyDescent="0.35">
      <c r="B672" s="1">
        <v>3722</v>
      </c>
      <c r="C672" s="1" t="s">
        <v>21</v>
      </c>
      <c r="D672" s="1" t="s">
        <v>18</v>
      </c>
      <c r="E672" s="1">
        <v>0</v>
      </c>
      <c r="F672" s="28">
        <v>0</v>
      </c>
      <c r="G672" s="28">
        <v>0</v>
      </c>
      <c r="H672" s="1">
        <v>0</v>
      </c>
      <c r="I672" s="1">
        <v>1</v>
      </c>
      <c r="J672" s="1">
        <v>7</v>
      </c>
      <c r="K672" s="1">
        <v>0</v>
      </c>
      <c r="L672" s="1">
        <v>0</v>
      </c>
      <c r="M672" s="1">
        <v>0</v>
      </c>
      <c r="N672" s="1">
        <v>2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</row>
    <row r="673" spans="2:19" x14ac:dyDescent="0.35">
      <c r="B673" s="1">
        <v>3723</v>
      </c>
      <c r="C673" s="1" t="s">
        <v>22</v>
      </c>
      <c r="D673" s="1" t="s">
        <v>18</v>
      </c>
      <c r="E673" s="1">
        <v>0</v>
      </c>
      <c r="F673" s="28">
        <v>0</v>
      </c>
      <c r="G673" s="28">
        <v>0</v>
      </c>
      <c r="H673" s="1">
        <v>0</v>
      </c>
      <c r="I673" s="1">
        <v>0</v>
      </c>
      <c r="J673" s="1">
        <v>6</v>
      </c>
      <c r="K673" s="1">
        <v>0</v>
      </c>
      <c r="L673" s="1">
        <v>1</v>
      </c>
      <c r="M673" s="1">
        <v>0</v>
      </c>
      <c r="N673" s="1">
        <v>3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</row>
    <row r="674" spans="2:19" x14ac:dyDescent="0.35">
      <c r="B674" s="1">
        <v>3724</v>
      </c>
      <c r="C674" s="1" t="s">
        <v>17</v>
      </c>
      <c r="D674" s="1" t="s">
        <v>20</v>
      </c>
      <c r="E674" s="1">
        <v>0</v>
      </c>
      <c r="F674" s="28">
        <v>0</v>
      </c>
      <c r="G674" s="28">
        <v>0</v>
      </c>
      <c r="H674" s="1">
        <v>0</v>
      </c>
      <c r="I674" s="1">
        <v>0</v>
      </c>
      <c r="J674" s="1">
        <v>6</v>
      </c>
      <c r="K674" s="1">
        <v>0</v>
      </c>
      <c r="L674" s="1">
        <v>0</v>
      </c>
      <c r="M674" s="1">
        <v>0</v>
      </c>
      <c r="N674" s="1">
        <v>3</v>
      </c>
      <c r="O674" s="1">
        <v>1</v>
      </c>
      <c r="P674" s="1">
        <v>0</v>
      </c>
      <c r="Q674" s="1">
        <v>0</v>
      </c>
      <c r="R674" s="1">
        <v>0</v>
      </c>
      <c r="S674" s="1">
        <v>0</v>
      </c>
    </row>
    <row r="675" spans="2:19" x14ac:dyDescent="0.35">
      <c r="B675" s="1">
        <v>3725</v>
      </c>
      <c r="C675" s="1" t="s">
        <v>26</v>
      </c>
      <c r="D675" s="1" t="s">
        <v>20</v>
      </c>
      <c r="E675" s="1">
        <v>0</v>
      </c>
      <c r="F675" s="28">
        <v>0</v>
      </c>
      <c r="G675" s="28">
        <v>0</v>
      </c>
      <c r="H675" s="1">
        <v>0</v>
      </c>
      <c r="I675" s="1">
        <v>3</v>
      </c>
      <c r="J675" s="1">
        <v>6</v>
      </c>
      <c r="K675" s="1">
        <v>0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1</v>
      </c>
      <c r="R675" s="1">
        <v>0</v>
      </c>
      <c r="S675" s="1">
        <v>0</v>
      </c>
    </row>
    <row r="676" spans="2:19" x14ac:dyDescent="0.35">
      <c r="B676" s="1">
        <v>3726</v>
      </c>
      <c r="C676" s="1" t="s">
        <v>24</v>
      </c>
      <c r="D676" s="1" t="s">
        <v>20</v>
      </c>
      <c r="E676" s="1">
        <v>0</v>
      </c>
      <c r="F676" s="28">
        <v>0</v>
      </c>
      <c r="G676" s="28">
        <v>0</v>
      </c>
      <c r="H676" s="1">
        <v>0</v>
      </c>
      <c r="I676" s="1">
        <v>0</v>
      </c>
      <c r="J676" s="1">
        <v>8</v>
      </c>
      <c r="K676" s="1">
        <v>0</v>
      </c>
      <c r="L676" s="1">
        <v>0</v>
      </c>
      <c r="M676" s="1">
        <v>0</v>
      </c>
      <c r="N676" s="1">
        <v>2</v>
      </c>
      <c r="O676" s="1">
        <v>0</v>
      </c>
      <c r="P676" s="1">
        <v>0</v>
      </c>
      <c r="Q676" s="1">
        <v>0</v>
      </c>
      <c r="R676" s="1">
        <v>0</v>
      </c>
      <c r="S676" s="1">
        <v>0</v>
      </c>
    </row>
    <row r="677" spans="2:19" x14ac:dyDescent="0.35">
      <c r="B677" s="1">
        <v>3727</v>
      </c>
      <c r="C677" s="1" t="s">
        <v>22</v>
      </c>
      <c r="D677" s="1" t="s">
        <v>20</v>
      </c>
      <c r="E677" s="1">
        <v>0</v>
      </c>
      <c r="F677" s="28">
        <v>0</v>
      </c>
      <c r="G677" s="28">
        <v>0</v>
      </c>
      <c r="H677" s="1">
        <v>0</v>
      </c>
      <c r="I677" s="1">
        <v>0</v>
      </c>
      <c r="J677" s="1">
        <v>5</v>
      </c>
      <c r="K677" s="1">
        <v>0</v>
      </c>
      <c r="L677" s="1">
        <v>1</v>
      </c>
      <c r="M677" s="1">
        <v>0</v>
      </c>
      <c r="N677" s="1">
        <v>4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</row>
    <row r="678" spans="2:19" x14ac:dyDescent="0.35">
      <c r="B678" s="1">
        <v>3728</v>
      </c>
      <c r="C678" s="1" t="s">
        <v>19</v>
      </c>
      <c r="D678" s="1" t="s">
        <v>18</v>
      </c>
      <c r="E678" s="1">
        <v>0</v>
      </c>
      <c r="F678" s="28">
        <v>0</v>
      </c>
      <c r="G678" s="28">
        <v>0</v>
      </c>
      <c r="H678" s="1">
        <v>0</v>
      </c>
      <c r="I678" s="1">
        <v>0</v>
      </c>
      <c r="J678" s="1">
        <v>6</v>
      </c>
      <c r="K678" s="1">
        <v>0</v>
      </c>
      <c r="L678" s="1">
        <v>1</v>
      </c>
      <c r="M678" s="1">
        <v>0</v>
      </c>
      <c r="N678" s="1">
        <v>3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</row>
    <row r="679" spans="2:19" x14ac:dyDescent="0.35">
      <c r="B679" s="1">
        <v>3729</v>
      </c>
      <c r="C679" s="1" t="s">
        <v>22</v>
      </c>
      <c r="D679" s="1" t="s">
        <v>20</v>
      </c>
      <c r="E679" s="1">
        <v>0</v>
      </c>
      <c r="F679" s="28">
        <v>0</v>
      </c>
      <c r="G679" s="28">
        <v>0</v>
      </c>
      <c r="H679" s="1">
        <v>0</v>
      </c>
      <c r="I679" s="1">
        <v>1</v>
      </c>
      <c r="J679" s="1">
        <v>7</v>
      </c>
      <c r="K679" s="1">
        <v>0</v>
      </c>
      <c r="L679" s="1">
        <v>0</v>
      </c>
      <c r="M679" s="1">
        <v>0</v>
      </c>
      <c r="N679" s="1">
        <v>2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</row>
    <row r="680" spans="2:19" x14ac:dyDescent="0.35">
      <c r="B680" s="1">
        <v>3730</v>
      </c>
      <c r="C680" s="1" t="s">
        <v>22</v>
      </c>
      <c r="D680" s="1" t="s">
        <v>18</v>
      </c>
      <c r="E680" s="1">
        <v>0</v>
      </c>
      <c r="F680" s="28">
        <v>0</v>
      </c>
      <c r="G680" s="28">
        <v>1</v>
      </c>
      <c r="H680" s="1">
        <v>0</v>
      </c>
      <c r="I680" s="1">
        <v>0</v>
      </c>
      <c r="J680" s="1">
        <v>5</v>
      </c>
      <c r="K680" s="1">
        <v>0</v>
      </c>
      <c r="L680" s="1">
        <v>0</v>
      </c>
      <c r="M680" s="1">
        <v>0</v>
      </c>
      <c r="N680" s="1">
        <v>4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</row>
    <row r="681" spans="2:19" x14ac:dyDescent="0.35">
      <c r="B681" s="1">
        <v>3731</v>
      </c>
      <c r="C681" s="1" t="s">
        <v>19</v>
      </c>
      <c r="D681" s="1" t="s">
        <v>20</v>
      </c>
      <c r="E681" s="1">
        <v>0</v>
      </c>
      <c r="F681" s="28">
        <v>0</v>
      </c>
      <c r="G681" s="28">
        <v>0</v>
      </c>
      <c r="H681" s="1">
        <v>0</v>
      </c>
      <c r="I681" s="1">
        <v>0</v>
      </c>
      <c r="J681" s="1">
        <v>8</v>
      </c>
      <c r="K681" s="1">
        <v>0</v>
      </c>
      <c r="L681" s="1">
        <v>0</v>
      </c>
      <c r="M681" s="1">
        <v>1</v>
      </c>
      <c r="N681" s="1">
        <v>1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</row>
    <row r="682" spans="2:19" x14ac:dyDescent="0.35">
      <c r="B682" s="1">
        <v>3732</v>
      </c>
      <c r="C682" s="1" t="s">
        <v>19</v>
      </c>
      <c r="D682" s="1" t="s">
        <v>18</v>
      </c>
      <c r="E682" s="1">
        <v>0</v>
      </c>
      <c r="F682" s="28">
        <v>0</v>
      </c>
      <c r="G682" s="28">
        <v>0</v>
      </c>
      <c r="H682" s="1">
        <v>0</v>
      </c>
      <c r="I682" s="1">
        <v>0</v>
      </c>
      <c r="J682" s="1">
        <v>7</v>
      </c>
      <c r="K682" s="1">
        <v>0</v>
      </c>
      <c r="L682" s="1">
        <v>1</v>
      </c>
      <c r="M682" s="1">
        <v>0</v>
      </c>
      <c r="N682" s="1">
        <v>2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</row>
    <row r="683" spans="2:19" x14ac:dyDescent="0.35">
      <c r="B683" s="1">
        <v>3733</v>
      </c>
      <c r="C683" s="1" t="s">
        <v>19</v>
      </c>
      <c r="D683" s="1" t="s">
        <v>18</v>
      </c>
      <c r="E683" s="1">
        <v>0</v>
      </c>
      <c r="F683" s="28">
        <v>0</v>
      </c>
      <c r="G683" s="28">
        <v>0</v>
      </c>
      <c r="H683" s="1">
        <v>1</v>
      </c>
      <c r="I683" s="1">
        <v>0</v>
      </c>
      <c r="J683" s="1">
        <v>6</v>
      </c>
      <c r="K683" s="1">
        <v>0</v>
      </c>
      <c r="L683" s="1">
        <v>0</v>
      </c>
      <c r="M683" s="1">
        <v>0</v>
      </c>
      <c r="N683" s="1">
        <v>3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</row>
    <row r="684" spans="2:19" x14ac:dyDescent="0.35">
      <c r="B684" s="1">
        <v>3734</v>
      </c>
      <c r="C684" s="1" t="s">
        <v>22</v>
      </c>
      <c r="D684" s="1" t="s">
        <v>18</v>
      </c>
      <c r="E684" s="1">
        <v>0</v>
      </c>
      <c r="F684" s="28">
        <v>0</v>
      </c>
      <c r="G684" s="28">
        <v>0</v>
      </c>
      <c r="H684" s="1">
        <v>0</v>
      </c>
      <c r="I684" s="1">
        <v>0</v>
      </c>
      <c r="J684" s="1">
        <v>8</v>
      </c>
      <c r="K684" s="1">
        <v>0</v>
      </c>
      <c r="L684" s="1">
        <v>0</v>
      </c>
      <c r="M684" s="1">
        <v>0</v>
      </c>
      <c r="N684" s="1">
        <v>1</v>
      </c>
      <c r="O684" s="1">
        <v>0</v>
      </c>
      <c r="P684" s="1">
        <v>0</v>
      </c>
      <c r="Q684" s="1">
        <v>0</v>
      </c>
      <c r="R684" s="1">
        <v>0</v>
      </c>
      <c r="S684" s="1">
        <v>1</v>
      </c>
    </row>
    <row r="685" spans="2:19" x14ac:dyDescent="0.35">
      <c r="B685" s="1">
        <v>3735</v>
      </c>
      <c r="C685" s="1" t="s">
        <v>19</v>
      </c>
      <c r="D685" s="1" t="s">
        <v>20</v>
      </c>
      <c r="E685" s="1">
        <v>0</v>
      </c>
      <c r="F685" s="28">
        <v>0</v>
      </c>
      <c r="G685" s="28">
        <v>0</v>
      </c>
      <c r="H685" s="1">
        <v>0</v>
      </c>
      <c r="I685" s="1">
        <v>0</v>
      </c>
      <c r="J685" s="1">
        <v>6</v>
      </c>
      <c r="K685" s="1">
        <v>0</v>
      </c>
      <c r="L685" s="1">
        <v>0</v>
      </c>
      <c r="M685" s="1">
        <v>0</v>
      </c>
      <c r="N685" s="1">
        <v>1</v>
      </c>
      <c r="O685" s="1">
        <v>3</v>
      </c>
      <c r="P685" s="1">
        <v>0</v>
      </c>
      <c r="Q685" s="1">
        <v>0</v>
      </c>
      <c r="R685" s="1">
        <v>0</v>
      </c>
      <c r="S685" s="1">
        <v>0</v>
      </c>
    </row>
    <row r="686" spans="2:19" x14ac:dyDescent="0.35">
      <c r="B686" s="1">
        <v>3736</v>
      </c>
      <c r="C686" s="1" t="s">
        <v>19</v>
      </c>
      <c r="D686" s="1" t="s">
        <v>20</v>
      </c>
      <c r="E686" s="1">
        <v>0</v>
      </c>
      <c r="F686" s="28">
        <v>0</v>
      </c>
      <c r="G686" s="28">
        <v>0</v>
      </c>
      <c r="H686" s="1">
        <v>0</v>
      </c>
      <c r="I686" s="1">
        <v>0</v>
      </c>
      <c r="J686" s="1">
        <v>0</v>
      </c>
      <c r="K686" s="1">
        <v>0</v>
      </c>
      <c r="L686" s="1">
        <v>0</v>
      </c>
      <c r="M686" s="1">
        <v>0</v>
      </c>
      <c r="N686" s="1">
        <v>1</v>
      </c>
      <c r="O686" s="1">
        <v>8</v>
      </c>
      <c r="P686" s="1">
        <v>0</v>
      </c>
      <c r="Q686" s="1">
        <v>0</v>
      </c>
      <c r="R686" s="1">
        <v>0</v>
      </c>
      <c r="S686" s="1">
        <v>1</v>
      </c>
    </row>
    <row r="687" spans="2:19" x14ac:dyDescent="0.35">
      <c r="B687" s="1">
        <v>3737</v>
      </c>
      <c r="C687" s="1" t="s">
        <v>21</v>
      </c>
      <c r="D687" s="1" t="s">
        <v>20</v>
      </c>
      <c r="E687" s="1">
        <v>0</v>
      </c>
      <c r="F687" s="28">
        <v>0</v>
      </c>
      <c r="G687" s="28">
        <v>0</v>
      </c>
      <c r="H687" s="1">
        <v>2</v>
      </c>
      <c r="I687" s="1">
        <v>0</v>
      </c>
      <c r="J687" s="1">
        <v>0</v>
      </c>
      <c r="K687" s="1">
        <v>0</v>
      </c>
      <c r="L687" s="1">
        <v>0</v>
      </c>
      <c r="M687" s="1">
        <v>0</v>
      </c>
      <c r="N687" s="1">
        <v>0</v>
      </c>
      <c r="O687" s="1">
        <v>7</v>
      </c>
      <c r="P687" s="1">
        <v>0</v>
      </c>
      <c r="Q687" s="1">
        <v>1</v>
      </c>
      <c r="R687" s="1">
        <v>0</v>
      </c>
      <c r="S687" s="1">
        <v>0</v>
      </c>
    </row>
    <row r="688" spans="2:19" x14ac:dyDescent="0.35">
      <c r="B688" s="1">
        <v>3738</v>
      </c>
      <c r="C688" s="1" t="s">
        <v>24</v>
      </c>
      <c r="D688" s="1" t="s">
        <v>18</v>
      </c>
      <c r="E688" s="1">
        <v>0</v>
      </c>
      <c r="F688" s="28">
        <v>0</v>
      </c>
      <c r="G688" s="28">
        <v>0</v>
      </c>
      <c r="H688" s="1">
        <v>1</v>
      </c>
      <c r="I688" s="1">
        <v>1</v>
      </c>
      <c r="J688" s="1">
        <v>0</v>
      </c>
      <c r="K688" s="1">
        <v>0</v>
      </c>
      <c r="L688" s="1">
        <v>0</v>
      </c>
      <c r="M688" s="1">
        <v>0</v>
      </c>
      <c r="N688" s="1">
        <v>0</v>
      </c>
      <c r="O688" s="1">
        <v>8</v>
      </c>
      <c r="P688" s="1">
        <v>0</v>
      </c>
      <c r="Q688" s="1">
        <v>0</v>
      </c>
      <c r="R688" s="1">
        <v>0</v>
      </c>
      <c r="S688" s="1">
        <v>0</v>
      </c>
    </row>
    <row r="689" spans="2:19" x14ac:dyDescent="0.35">
      <c r="B689" s="1">
        <v>3739</v>
      </c>
      <c r="C689" s="1" t="s">
        <v>28</v>
      </c>
      <c r="D689" s="1" t="s">
        <v>18</v>
      </c>
      <c r="E689" s="1">
        <v>0</v>
      </c>
      <c r="F689" s="28">
        <v>0</v>
      </c>
      <c r="G689" s="28">
        <v>0</v>
      </c>
      <c r="H689" s="1">
        <v>0</v>
      </c>
      <c r="I689" s="1">
        <v>0</v>
      </c>
      <c r="J689" s="1">
        <v>0</v>
      </c>
      <c r="K689" s="1">
        <v>1</v>
      </c>
      <c r="L689" s="1">
        <v>0</v>
      </c>
      <c r="M689" s="1">
        <v>0</v>
      </c>
      <c r="N689" s="1">
        <v>8</v>
      </c>
      <c r="O689" s="1">
        <v>1</v>
      </c>
      <c r="P689" s="1">
        <v>0</v>
      </c>
      <c r="Q689" s="1">
        <v>0</v>
      </c>
      <c r="R689" s="1">
        <v>0</v>
      </c>
      <c r="S689" s="1">
        <v>0</v>
      </c>
    </row>
    <row r="690" spans="2:19" x14ac:dyDescent="0.35">
      <c r="B690" s="1">
        <v>3740</v>
      </c>
      <c r="C690" s="1" t="s">
        <v>19</v>
      </c>
      <c r="D690" s="1" t="s">
        <v>20</v>
      </c>
      <c r="E690" s="1">
        <v>0</v>
      </c>
      <c r="F690" s="28">
        <v>2</v>
      </c>
      <c r="G690" s="28">
        <v>0</v>
      </c>
      <c r="H690" s="1">
        <v>1</v>
      </c>
      <c r="I690" s="1">
        <v>0</v>
      </c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7</v>
      </c>
      <c r="P690" s="1">
        <v>0</v>
      </c>
      <c r="Q690" s="1">
        <v>0</v>
      </c>
      <c r="R690" s="1">
        <v>0</v>
      </c>
      <c r="S690" s="1">
        <v>0</v>
      </c>
    </row>
    <row r="691" spans="2:19" x14ac:dyDescent="0.35">
      <c r="B691" s="1">
        <v>3741</v>
      </c>
      <c r="C691" s="1" t="s">
        <v>17</v>
      </c>
      <c r="D691" s="1" t="s">
        <v>18</v>
      </c>
      <c r="E691" s="1">
        <v>0</v>
      </c>
      <c r="F691" s="28">
        <v>0</v>
      </c>
      <c r="G691" s="28">
        <v>0</v>
      </c>
      <c r="H691" s="1">
        <v>0</v>
      </c>
      <c r="I691" s="1">
        <v>7</v>
      </c>
      <c r="J691" s="1">
        <v>0</v>
      </c>
      <c r="K691" s="1">
        <v>0</v>
      </c>
      <c r="L691" s="1">
        <v>0</v>
      </c>
      <c r="M691" s="1">
        <v>1</v>
      </c>
      <c r="N691" s="1">
        <v>0</v>
      </c>
      <c r="O691" s="1">
        <v>2</v>
      </c>
      <c r="P691" s="1">
        <v>0</v>
      </c>
      <c r="Q691" s="1">
        <v>0</v>
      </c>
      <c r="R691" s="1">
        <v>0</v>
      </c>
      <c r="S691" s="1">
        <v>0</v>
      </c>
    </row>
    <row r="692" spans="2:19" x14ac:dyDescent="0.35">
      <c r="B692" s="1">
        <v>3742</v>
      </c>
      <c r="C692" s="1" t="s">
        <v>23</v>
      </c>
      <c r="D692" s="1" t="s">
        <v>20</v>
      </c>
      <c r="E692" s="1">
        <v>0</v>
      </c>
      <c r="F692" s="28">
        <v>0</v>
      </c>
      <c r="G692" s="28">
        <v>0</v>
      </c>
      <c r="H692" s="1">
        <v>0</v>
      </c>
      <c r="I692" s="1">
        <v>0</v>
      </c>
      <c r="J692" s="1">
        <v>0</v>
      </c>
      <c r="K692" s="1">
        <v>0</v>
      </c>
      <c r="L692" s="1">
        <v>0</v>
      </c>
      <c r="M692" s="1">
        <v>0</v>
      </c>
      <c r="N692" s="1">
        <v>6</v>
      </c>
      <c r="O692" s="1">
        <v>3</v>
      </c>
      <c r="P692" s="1">
        <v>0</v>
      </c>
      <c r="Q692" s="1">
        <v>1</v>
      </c>
      <c r="R692" s="1">
        <v>0</v>
      </c>
      <c r="S692" s="1">
        <v>0</v>
      </c>
    </row>
    <row r="693" spans="2:19" x14ac:dyDescent="0.35">
      <c r="B693" s="1">
        <v>3743</v>
      </c>
      <c r="C693" s="1" t="s">
        <v>19</v>
      </c>
      <c r="D693" s="1" t="s">
        <v>18</v>
      </c>
      <c r="E693" s="1">
        <v>0</v>
      </c>
      <c r="F693" s="28">
        <v>2</v>
      </c>
      <c r="G693" s="28">
        <v>0</v>
      </c>
      <c r="H693" s="1">
        <v>0</v>
      </c>
      <c r="I693" s="1">
        <v>0</v>
      </c>
      <c r="J693" s="1">
        <v>0</v>
      </c>
      <c r="K693" s="1">
        <v>0</v>
      </c>
      <c r="L693" s="1">
        <v>0</v>
      </c>
      <c r="M693" s="1">
        <v>0</v>
      </c>
      <c r="N693" s="1">
        <v>5</v>
      </c>
      <c r="O693" s="1">
        <v>3</v>
      </c>
      <c r="P693" s="1">
        <v>0</v>
      </c>
      <c r="Q693" s="1">
        <v>0</v>
      </c>
      <c r="R693" s="1">
        <v>0</v>
      </c>
      <c r="S693" s="1">
        <v>0</v>
      </c>
    </row>
    <row r="694" spans="2:19" x14ac:dyDescent="0.35">
      <c r="B694" s="1">
        <v>3744</v>
      </c>
      <c r="C694" s="1" t="s">
        <v>22</v>
      </c>
      <c r="D694" s="1" t="s">
        <v>20</v>
      </c>
      <c r="E694" s="1">
        <v>0</v>
      </c>
      <c r="F694" s="28">
        <v>0</v>
      </c>
      <c r="G694" s="28">
        <v>0</v>
      </c>
      <c r="H694" s="1">
        <v>0</v>
      </c>
      <c r="I694" s="1">
        <v>5</v>
      </c>
      <c r="J694" s="1">
        <v>0</v>
      </c>
      <c r="K694" s="1">
        <v>0</v>
      </c>
      <c r="L694" s="1">
        <v>0</v>
      </c>
      <c r="M694" s="1">
        <v>3</v>
      </c>
      <c r="N694" s="1">
        <v>0</v>
      </c>
      <c r="O694" s="1">
        <v>2</v>
      </c>
      <c r="P694" s="1">
        <v>0</v>
      </c>
      <c r="Q694" s="1">
        <v>0</v>
      </c>
      <c r="R694" s="1">
        <v>0</v>
      </c>
      <c r="S694" s="1">
        <v>0</v>
      </c>
    </row>
    <row r="695" spans="2:19" x14ac:dyDescent="0.35">
      <c r="B695" s="1">
        <v>3745</v>
      </c>
      <c r="C695" s="1" t="s">
        <v>21</v>
      </c>
      <c r="D695" s="1" t="s">
        <v>18</v>
      </c>
      <c r="E695" s="1">
        <v>0</v>
      </c>
      <c r="F695" s="28">
        <v>0</v>
      </c>
      <c r="G695" s="28">
        <v>0</v>
      </c>
      <c r="H695" s="1">
        <v>1</v>
      </c>
      <c r="I695" s="1">
        <v>0</v>
      </c>
      <c r="J695" s="1">
        <v>0</v>
      </c>
      <c r="K695" s="1">
        <v>0</v>
      </c>
      <c r="L695" s="1">
        <v>1</v>
      </c>
      <c r="M695" s="1">
        <v>0</v>
      </c>
      <c r="N695" s="1">
        <v>0</v>
      </c>
      <c r="O695" s="1">
        <v>8</v>
      </c>
      <c r="P695" s="1">
        <v>0</v>
      </c>
      <c r="Q695" s="1">
        <v>0</v>
      </c>
      <c r="R695" s="1">
        <v>0</v>
      </c>
      <c r="S695" s="1">
        <v>0</v>
      </c>
    </row>
    <row r="696" spans="2:19" x14ac:dyDescent="0.35">
      <c r="B696" s="1">
        <v>3746</v>
      </c>
      <c r="C696" s="1" t="s">
        <v>19</v>
      </c>
      <c r="D696" s="1" t="s">
        <v>20</v>
      </c>
      <c r="E696" s="1">
        <v>0</v>
      </c>
      <c r="F696" s="28">
        <v>0</v>
      </c>
      <c r="G696" s="28">
        <v>0</v>
      </c>
      <c r="H696" s="1">
        <v>2</v>
      </c>
      <c r="I696" s="1">
        <v>0</v>
      </c>
      <c r="J696" s="1">
        <v>0</v>
      </c>
      <c r="K696" s="1">
        <v>0</v>
      </c>
      <c r="L696" s="1">
        <v>0</v>
      </c>
      <c r="M696" s="1">
        <v>0</v>
      </c>
      <c r="N696" s="1">
        <v>0</v>
      </c>
      <c r="O696" s="1">
        <v>7</v>
      </c>
      <c r="P696" s="1">
        <v>0</v>
      </c>
      <c r="Q696" s="1">
        <v>0</v>
      </c>
      <c r="R696" s="1">
        <v>0</v>
      </c>
      <c r="S696" s="1">
        <v>1</v>
      </c>
    </row>
    <row r="697" spans="2:19" x14ac:dyDescent="0.35">
      <c r="B697" s="1">
        <v>3747</v>
      </c>
      <c r="C697" s="1" t="s">
        <v>17</v>
      </c>
      <c r="D697" s="1" t="s">
        <v>20</v>
      </c>
      <c r="E697" s="1">
        <v>0</v>
      </c>
      <c r="F697" s="28">
        <v>0</v>
      </c>
      <c r="G697" s="28">
        <v>0</v>
      </c>
      <c r="H697" s="1">
        <v>3</v>
      </c>
      <c r="I697" s="1">
        <v>6</v>
      </c>
      <c r="J697" s="1">
        <v>1</v>
      </c>
      <c r="K697" s="1">
        <v>0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</row>
    <row r="698" spans="2:19" x14ac:dyDescent="0.35">
      <c r="B698" s="1">
        <v>3748</v>
      </c>
      <c r="C698" s="1" t="s">
        <v>23</v>
      </c>
      <c r="D698" s="1" t="s">
        <v>18</v>
      </c>
      <c r="E698" s="1">
        <v>0</v>
      </c>
      <c r="F698" s="28">
        <v>0</v>
      </c>
      <c r="G698" s="28">
        <v>0</v>
      </c>
      <c r="H698" s="1">
        <v>1</v>
      </c>
      <c r="I698" s="1">
        <v>0</v>
      </c>
      <c r="J698" s="1">
        <v>0</v>
      </c>
      <c r="K698" s="1">
        <v>0</v>
      </c>
      <c r="L698" s="1">
        <v>0</v>
      </c>
      <c r="M698" s="1">
        <v>0</v>
      </c>
      <c r="N698" s="1">
        <v>6</v>
      </c>
      <c r="O698" s="1">
        <v>3</v>
      </c>
      <c r="P698" s="1">
        <v>0</v>
      </c>
      <c r="Q698" s="1">
        <v>0</v>
      </c>
      <c r="R698" s="1">
        <v>0</v>
      </c>
      <c r="S698" s="1">
        <v>0</v>
      </c>
    </row>
    <row r="699" spans="2:19" x14ac:dyDescent="0.35">
      <c r="B699" s="1">
        <v>3749</v>
      </c>
      <c r="C699" s="1" t="s">
        <v>19</v>
      </c>
      <c r="D699" s="1" t="s">
        <v>18</v>
      </c>
      <c r="E699" s="1">
        <v>0</v>
      </c>
      <c r="F699" s="28">
        <v>0</v>
      </c>
      <c r="G699" s="28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  <c r="M699" s="1">
        <v>0</v>
      </c>
      <c r="N699" s="1">
        <v>7</v>
      </c>
      <c r="O699" s="1">
        <v>2</v>
      </c>
      <c r="P699" s="1">
        <v>0</v>
      </c>
      <c r="Q699" s="1">
        <v>0</v>
      </c>
      <c r="R699" s="1">
        <v>0</v>
      </c>
      <c r="S699" s="1">
        <v>1</v>
      </c>
    </row>
    <row r="700" spans="2:19" x14ac:dyDescent="0.35">
      <c r="B700" s="1">
        <v>3750</v>
      </c>
      <c r="C700" s="1" t="s">
        <v>17</v>
      </c>
      <c r="D700" s="1" t="s">
        <v>20</v>
      </c>
      <c r="E700" s="1">
        <v>0</v>
      </c>
      <c r="F700" s="28">
        <v>7</v>
      </c>
      <c r="G700" s="28">
        <v>0</v>
      </c>
      <c r="H700" s="1">
        <v>0</v>
      </c>
      <c r="I700" s="1">
        <v>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</v>
      </c>
      <c r="P700" s="1">
        <v>0</v>
      </c>
      <c r="Q700" s="1">
        <v>2</v>
      </c>
      <c r="R700" s="1">
        <v>0</v>
      </c>
      <c r="S700" s="1">
        <v>0</v>
      </c>
    </row>
    <row r="701" spans="2:19" x14ac:dyDescent="0.35">
      <c r="B701" s="1">
        <v>3751</v>
      </c>
      <c r="C701" s="1" t="s">
        <v>22</v>
      </c>
      <c r="D701" s="1" t="s">
        <v>20</v>
      </c>
      <c r="E701" s="1">
        <v>1</v>
      </c>
      <c r="F701" s="28">
        <v>5</v>
      </c>
      <c r="G701" s="28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4</v>
      </c>
      <c r="R701" s="1">
        <v>0</v>
      </c>
      <c r="S701" s="1">
        <v>0</v>
      </c>
    </row>
    <row r="702" spans="2:19" x14ac:dyDescent="0.35">
      <c r="B702" s="1">
        <v>3752</v>
      </c>
      <c r="C702" s="1" t="s">
        <v>19</v>
      </c>
      <c r="D702" s="1" t="s">
        <v>20</v>
      </c>
      <c r="E702" s="1">
        <v>0</v>
      </c>
      <c r="F702" s="28">
        <v>8</v>
      </c>
      <c r="G702" s="28">
        <v>0</v>
      </c>
      <c r="H702" s="1">
        <v>0</v>
      </c>
      <c r="I702" s="1">
        <v>0</v>
      </c>
      <c r="J702" s="1">
        <v>0</v>
      </c>
      <c r="K702" s="1">
        <v>0</v>
      </c>
      <c r="L702" s="1">
        <v>1</v>
      </c>
      <c r="M702" s="1">
        <v>0</v>
      </c>
      <c r="N702" s="1">
        <v>0</v>
      </c>
      <c r="O702" s="1">
        <v>0</v>
      </c>
      <c r="P702" s="1">
        <v>0</v>
      </c>
      <c r="Q702" s="1">
        <v>1</v>
      </c>
      <c r="R702" s="1">
        <v>0</v>
      </c>
      <c r="S702" s="1">
        <v>0</v>
      </c>
    </row>
    <row r="703" spans="2:19" x14ac:dyDescent="0.35">
      <c r="B703" s="1">
        <v>3753</v>
      </c>
      <c r="C703" s="1" t="s">
        <v>22</v>
      </c>
      <c r="D703" s="1" t="s">
        <v>18</v>
      </c>
      <c r="E703" s="1">
        <v>0</v>
      </c>
      <c r="F703" s="28">
        <v>6</v>
      </c>
      <c r="G703" s="28">
        <v>0</v>
      </c>
      <c r="H703" s="1">
        <v>0</v>
      </c>
      <c r="I703" s="1">
        <v>0</v>
      </c>
      <c r="J703" s="1">
        <v>0</v>
      </c>
      <c r="K703" s="1">
        <v>0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2</v>
      </c>
      <c r="R703" s="1">
        <v>0</v>
      </c>
      <c r="S703" s="1">
        <v>2</v>
      </c>
    </row>
    <row r="704" spans="2:19" x14ac:dyDescent="0.35">
      <c r="B704" s="1">
        <v>3754</v>
      </c>
      <c r="C704" s="1" t="s">
        <v>17</v>
      </c>
      <c r="D704" s="1" t="s">
        <v>20</v>
      </c>
      <c r="E704" s="1">
        <v>0</v>
      </c>
      <c r="F704" s="28">
        <v>1</v>
      </c>
      <c r="G704" s="28">
        <v>0</v>
      </c>
      <c r="H704" s="1">
        <v>0</v>
      </c>
      <c r="I704" s="1">
        <v>0</v>
      </c>
      <c r="J704" s="1">
        <v>2</v>
      </c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7</v>
      </c>
      <c r="R704" s="1">
        <v>0</v>
      </c>
      <c r="S704" s="1">
        <v>0</v>
      </c>
    </row>
    <row r="705" spans="2:19" x14ac:dyDescent="0.35">
      <c r="B705" s="1">
        <v>3755</v>
      </c>
      <c r="C705" s="1" t="s">
        <v>17</v>
      </c>
      <c r="D705" s="1" t="s">
        <v>20</v>
      </c>
      <c r="E705" s="1">
        <v>0</v>
      </c>
      <c r="F705" s="28">
        <v>6</v>
      </c>
      <c r="G705" s="28">
        <v>0</v>
      </c>
      <c r="H705" s="1">
        <v>0</v>
      </c>
      <c r="I705" s="1">
        <v>0</v>
      </c>
      <c r="J705" s="1">
        <v>0</v>
      </c>
      <c r="K705" s="1">
        <v>0</v>
      </c>
      <c r="L705" s="1">
        <v>0</v>
      </c>
      <c r="M705" s="1">
        <v>0</v>
      </c>
      <c r="N705" s="1">
        <v>0</v>
      </c>
      <c r="O705" s="1">
        <v>2</v>
      </c>
      <c r="P705" s="1">
        <v>0</v>
      </c>
      <c r="Q705" s="1">
        <v>2</v>
      </c>
      <c r="R705" s="1">
        <v>0</v>
      </c>
      <c r="S705" s="1">
        <v>0</v>
      </c>
    </row>
    <row r="706" spans="2:19" x14ac:dyDescent="0.35">
      <c r="B706" s="1">
        <v>3756</v>
      </c>
      <c r="C706" s="1" t="s">
        <v>19</v>
      </c>
      <c r="D706" s="1" t="s">
        <v>20</v>
      </c>
      <c r="E706" s="1">
        <v>0</v>
      </c>
      <c r="F706" s="28">
        <v>7</v>
      </c>
      <c r="G706" s="28">
        <v>0</v>
      </c>
      <c r="H706" s="1">
        <v>0</v>
      </c>
      <c r="I706" s="1">
        <v>0</v>
      </c>
      <c r="J706" s="1">
        <v>0</v>
      </c>
      <c r="K706" s="1">
        <v>0</v>
      </c>
      <c r="L706" s="1">
        <v>1</v>
      </c>
      <c r="M706" s="1">
        <v>0</v>
      </c>
      <c r="N706" s="1">
        <v>0</v>
      </c>
      <c r="O706" s="1">
        <v>0</v>
      </c>
      <c r="P706" s="1">
        <v>0</v>
      </c>
      <c r="Q706" s="1">
        <v>2</v>
      </c>
      <c r="R706" s="1">
        <v>0</v>
      </c>
      <c r="S706" s="1">
        <v>0</v>
      </c>
    </row>
    <row r="707" spans="2:19" x14ac:dyDescent="0.35">
      <c r="B707" s="1">
        <v>3757</v>
      </c>
      <c r="C707" s="1" t="s">
        <v>21</v>
      </c>
      <c r="D707" s="1" t="s">
        <v>20</v>
      </c>
      <c r="E707" s="1">
        <v>0</v>
      </c>
      <c r="F707" s="28">
        <v>6</v>
      </c>
      <c r="G707" s="28">
        <v>0</v>
      </c>
      <c r="H707" s="1">
        <v>1</v>
      </c>
      <c r="I707" s="1">
        <v>0</v>
      </c>
      <c r="J707" s="1">
        <v>0</v>
      </c>
      <c r="K707" s="1">
        <v>0</v>
      </c>
      <c r="L707" s="1">
        <v>0</v>
      </c>
      <c r="M707" s="1">
        <v>0</v>
      </c>
      <c r="N707" s="1">
        <v>0</v>
      </c>
      <c r="O707" s="1">
        <v>0</v>
      </c>
      <c r="P707" s="1">
        <v>0</v>
      </c>
      <c r="Q707" s="1">
        <v>3</v>
      </c>
      <c r="R707" s="1">
        <v>0</v>
      </c>
      <c r="S707" s="1">
        <v>0</v>
      </c>
    </row>
    <row r="708" spans="2:19" x14ac:dyDescent="0.35">
      <c r="B708" s="1">
        <v>3758</v>
      </c>
      <c r="C708" s="1" t="s">
        <v>19</v>
      </c>
      <c r="D708" s="1" t="s">
        <v>20</v>
      </c>
      <c r="E708" s="1">
        <v>1</v>
      </c>
      <c r="F708" s="28">
        <v>5</v>
      </c>
      <c r="G708" s="28">
        <v>0</v>
      </c>
      <c r="H708" s="1">
        <v>0</v>
      </c>
      <c r="I708" s="1">
        <v>0</v>
      </c>
      <c r="J708" s="1">
        <v>0</v>
      </c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4</v>
      </c>
      <c r="R708" s="1">
        <v>0</v>
      </c>
      <c r="S708" s="1">
        <v>0</v>
      </c>
    </row>
    <row r="709" spans="2:19" x14ac:dyDescent="0.35">
      <c r="B709" s="1">
        <v>3759</v>
      </c>
      <c r="C709" s="1" t="s">
        <v>17</v>
      </c>
      <c r="D709" s="1" t="s">
        <v>20</v>
      </c>
      <c r="E709" s="1">
        <v>0</v>
      </c>
      <c r="F709" s="28">
        <v>8</v>
      </c>
      <c r="G709" s="28">
        <v>0</v>
      </c>
      <c r="H709" s="1">
        <v>0</v>
      </c>
      <c r="I709" s="1">
        <v>1</v>
      </c>
      <c r="J709" s="1">
        <v>0</v>
      </c>
      <c r="K709" s="1">
        <v>0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1</v>
      </c>
      <c r="R709" s="1">
        <v>0</v>
      </c>
      <c r="S709" s="1">
        <v>0</v>
      </c>
    </row>
    <row r="710" spans="2:19" x14ac:dyDescent="0.35">
      <c r="B710" s="1">
        <v>3760</v>
      </c>
      <c r="C710" s="1" t="s">
        <v>22</v>
      </c>
      <c r="D710" s="1" t="s">
        <v>18</v>
      </c>
      <c r="E710" s="1">
        <v>0</v>
      </c>
      <c r="F710" s="28">
        <v>5</v>
      </c>
      <c r="G710" s="28">
        <v>0</v>
      </c>
      <c r="H710" s="1">
        <v>0</v>
      </c>
      <c r="I710" s="1">
        <v>0</v>
      </c>
      <c r="J710" s="1">
        <v>0</v>
      </c>
      <c r="K710" s="1">
        <v>0</v>
      </c>
      <c r="L710" s="1">
        <v>0</v>
      </c>
      <c r="M710" s="1">
        <v>0</v>
      </c>
      <c r="N710" s="1">
        <v>2</v>
      </c>
      <c r="O710" s="1">
        <v>0</v>
      </c>
      <c r="P710" s="1">
        <v>0</v>
      </c>
      <c r="Q710" s="1">
        <v>3</v>
      </c>
      <c r="R710" s="1">
        <v>0</v>
      </c>
      <c r="S710" s="1">
        <v>0</v>
      </c>
    </row>
    <row r="711" spans="2:19" x14ac:dyDescent="0.35">
      <c r="B711" s="1">
        <v>3761</v>
      </c>
      <c r="C711" s="1" t="s">
        <v>27</v>
      </c>
      <c r="D711" s="1" t="s">
        <v>18</v>
      </c>
      <c r="E711" s="1">
        <v>0</v>
      </c>
      <c r="F711" s="28">
        <v>6</v>
      </c>
      <c r="G711" s="28">
        <v>0</v>
      </c>
      <c r="H711" s="1">
        <v>0</v>
      </c>
      <c r="I711" s="1">
        <v>0</v>
      </c>
      <c r="J711" s="1">
        <v>0</v>
      </c>
      <c r="K711" s="1">
        <v>0</v>
      </c>
      <c r="L711" s="1">
        <v>1</v>
      </c>
      <c r="M711" s="1">
        <v>0</v>
      </c>
      <c r="N711" s="1">
        <v>0</v>
      </c>
      <c r="O711" s="1">
        <v>0</v>
      </c>
      <c r="P711" s="1">
        <v>0</v>
      </c>
      <c r="Q711" s="1">
        <v>3</v>
      </c>
      <c r="R711" s="1">
        <v>0</v>
      </c>
      <c r="S711" s="1">
        <v>0</v>
      </c>
    </row>
    <row r="712" spans="2:19" x14ac:dyDescent="0.35">
      <c r="B712" s="1">
        <v>3762</v>
      </c>
      <c r="C712" s="1" t="s">
        <v>17</v>
      </c>
      <c r="D712" s="1" t="s">
        <v>20</v>
      </c>
      <c r="E712" s="1">
        <v>2</v>
      </c>
      <c r="F712" s="28">
        <v>5</v>
      </c>
      <c r="G712" s="28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3</v>
      </c>
      <c r="R712" s="1">
        <v>0</v>
      </c>
      <c r="S712" s="1">
        <v>0</v>
      </c>
    </row>
    <row r="713" spans="2:19" x14ac:dyDescent="0.35">
      <c r="B713" s="1">
        <v>3763</v>
      </c>
      <c r="C713" s="1" t="s">
        <v>19</v>
      </c>
      <c r="D713" s="1" t="s">
        <v>20</v>
      </c>
      <c r="E713" s="1">
        <v>1</v>
      </c>
      <c r="F713" s="28">
        <v>5</v>
      </c>
      <c r="G713" s="28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4</v>
      </c>
      <c r="R713" s="1">
        <v>0</v>
      </c>
      <c r="S713" s="1">
        <v>0</v>
      </c>
    </row>
    <row r="714" spans="2:19" x14ac:dyDescent="0.35">
      <c r="B714" s="1">
        <v>3764</v>
      </c>
      <c r="C714" s="1" t="s">
        <v>17</v>
      </c>
      <c r="D714" s="1" t="s">
        <v>20</v>
      </c>
      <c r="E714" s="1">
        <v>0</v>
      </c>
      <c r="F714" s="28">
        <v>7</v>
      </c>
      <c r="G714" s="28">
        <v>0</v>
      </c>
      <c r="H714" s="1">
        <v>0</v>
      </c>
      <c r="I714" s="1">
        <v>1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2</v>
      </c>
      <c r="R714" s="1">
        <v>0</v>
      </c>
      <c r="S714" s="1">
        <v>0</v>
      </c>
    </row>
    <row r="715" spans="2:19" x14ac:dyDescent="0.35">
      <c r="B715" s="1">
        <v>3765</v>
      </c>
      <c r="C715" s="1" t="s">
        <v>19</v>
      </c>
      <c r="D715" s="1" t="s">
        <v>20</v>
      </c>
      <c r="E715" s="1">
        <v>1</v>
      </c>
      <c r="F715" s="28">
        <v>6</v>
      </c>
      <c r="G715" s="28">
        <v>0</v>
      </c>
      <c r="H715" s="1">
        <v>0</v>
      </c>
      <c r="I715" s="1">
        <v>0</v>
      </c>
      <c r="J715" s="1">
        <v>0</v>
      </c>
      <c r="K715" s="1">
        <v>0</v>
      </c>
      <c r="L715" s="1">
        <v>0</v>
      </c>
      <c r="M715" s="1">
        <v>0</v>
      </c>
      <c r="N715" s="1">
        <v>0</v>
      </c>
      <c r="O715" s="1">
        <v>0</v>
      </c>
      <c r="P715" s="1">
        <v>0</v>
      </c>
      <c r="Q715" s="1">
        <v>3</v>
      </c>
      <c r="R715" s="1">
        <v>0</v>
      </c>
      <c r="S715" s="1">
        <v>0</v>
      </c>
    </row>
    <row r="716" spans="2:19" x14ac:dyDescent="0.35">
      <c r="B716" s="1">
        <v>3766</v>
      </c>
      <c r="C716" s="1" t="s">
        <v>21</v>
      </c>
      <c r="D716" s="1" t="s">
        <v>20</v>
      </c>
      <c r="E716" s="1">
        <v>0</v>
      </c>
      <c r="F716" s="28">
        <v>8</v>
      </c>
      <c r="G716" s="28">
        <v>0</v>
      </c>
      <c r="H716" s="1">
        <v>1</v>
      </c>
      <c r="I716" s="1">
        <v>0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1</v>
      </c>
      <c r="R716" s="1">
        <v>0</v>
      </c>
      <c r="S716" s="1">
        <v>0</v>
      </c>
    </row>
    <row r="717" spans="2:19" x14ac:dyDescent="0.35">
      <c r="B717" s="1">
        <v>3767</v>
      </c>
      <c r="C717" s="1" t="s">
        <v>17</v>
      </c>
      <c r="D717" s="1" t="s">
        <v>18</v>
      </c>
      <c r="E717" s="1">
        <v>0</v>
      </c>
      <c r="F717" s="28">
        <v>7</v>
      </c>
      <c r="G717" s="28">
        <v>0</v>
      </c>
      <c r="H717" s="1">
        <v>0</v>
      </c>
      <c r="I717" s="1">
        <v>1</v>
      </c>
      <c r="J717" s="1">
        <v>0</v>
      </c>
      <c r="K717" s="1">
        <v>0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2</v>
      </c>
      <c r="R717" s="1">
        <v>0</v>
      </c>
      <c r="S717" s="1">
        <v>0</v>
      </c>
    </row>
    <row r="718" spans="2:19" x14ac:dyDescent="0.35">
      <c r="B718" s="1">
        <v>3768</v>
      </c>
      <c r="C718" s="1" t="s">
        <v>19</v>
      </c>
      <c r="D718" s="1" t="s">
        <v>18</v>
      </c>
      <c r="E718" s="1">
        <v>0</v>
      </c>
      <c r="F718" s="28">
        <v>0</v>
      </c>
      <c r="G718" s="28">
        <v>0</v>
      </c>
      <c r="H718" s="1">
        <v>0</v>
      </c>
      <c r="I718" s="1">
        <v>0</v>
      </c>
      <c r="J718" s="1">
        <v>1</v>
      </c>
      <c r="K718" s="1">
        <v>4</v>
      </c>
      <c r="L718" s="1">
        <v>0</v>
      </c>
      <c r="M718" s="1">
        <v>0</v>
      </c>
      <c r="N718" s="1">
        <v>5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</row>
    <row r="719" spans="2:19" x14ac:dyDescent="0.35">
      <c r="B719" s="1">
        <v>3769</v>
      </c>
      <c r="C719" s="1" t="s">
        <v>19</v>
      </c>
      <c r="D719" s="1" t="s">
        <v>18</v>
      </c>
      <c r="E719" s="1">
        <v>0</v>
      </c>
      <c r="F719" s="28">
        <v>0</v>
      </c>
      <c r="G719" s="28">
        <v>0</v>
      </c>
      <c r="H719" s="1">
        <v>0</v>
      </c>
      <c r="I719" s="1">
        <v>2</v>
      </c>
      <c r="J719" s="1">
        <v>2</v>
      </c>
      <c r="K719" s="1">
        <v>0</v>
      </c>
      <c r="L719" s="1">
        <v>0</v>
      </c>
      <c r="M719" s="1">
        <v>0</v>
      </c>
      <c r="N719" s="1">
        <v>6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</row>
    <row r="720" spans="2:19" x14ac:dyDescent="0.35">
      <c r="B720" s="1">
        <v>3770</v>
      </c>
      <c r="C720" s="1" t="s">
        <v>19</v>
      </c>
      <c r="D720" s="1" t="s">
        <v>18</v>
      </c>
      <c r="E720" s="1">
        <v>0</v>
      </c>
      <c r="F720" s="28">
        <v>0</v>
      </c>
      <c r="G720" s="28">
        <v>0</v>
      </c>
      <c r="H720" s="1">
        <v>1</v>
      </c>
      <c r="I720" s="1">
        <v>1</v>
      </c>
      <c r="J720" s="1">
        <v>0</v>
      </c>
      <c r="K720" s="1">
        <v>0</v>
      </c>
      <c r="L720" s="1">
        <v>0</v>
      </c>
      <c r="M720" s="1">
        <v>0</v>
      </c>
      <c r="N720" s="1">
        <v>8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</row>
    <row r="721" spans="2:19" x14ac:dyDescent="0.35">
      <c r="B721" s="1">
        <v>3771</v>
      </c>
      <c r="C721" s="1" t="s">
        <v>19</v>
      </c>
      <c r="D721" s="1" t="s">
        <v>18</v>
      </c>
      <c r="E721" s="1">
        <v>0</v>
      </c>
      <c r="F721" s="28">
        <v>0</v>
      </c>
      <c r="G721" s="28">
        <v>0</v>
      </c>
      <c r="H721" s="1">
        <v>0</v>
      </c>
      <c r="I721" s="1">
        <v>0</v>
      </c>
      <c r="J721" s="1">
        <v>1</v>
      </c>
      <c r="K721" s="1">
        <v>0</v>
      </c>
      <c r="L721" s="1">
        <v>1</v>
      </c>
      <c r="M721" s="1">
        <v>0</v>
      </c>
      <c r="N721" s="1">
        <v>8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</row>
    <row r="722" spans="2:19" x14ac:dyDescent="0.35">
      <c r="B722" s="1">
        <v>3772</v>
      </c>
      <c r="C722" s="1" t="s">
        <v>17</v>
      </c>
      <c r="D722" s="1" t="s">
        <v>18</v>
      </c>
      <c r="E722" s="1">
        <v>0</v>
      </c>
      <c r="F722" s="28">
        <v>0</v>
      </c>
      <c r="G722" s="28">
        <v>2</v>
      </c>
      <c r="H722" s="1">
        <v>0</v>
      </c>
      <c r="I722" s="1">
        <v>0</v>
      </c>
      <c r="J722" s="1">
        <v>0</v>
      </c>
      <c r="K722" s="1">
        <v>0</v>
      </c>
      <c r="L722" s="1">
        <v>0</v>
      </c>
      <c r="M722" s="1">
        <v>3</v>
      </c>
      <c r="N722" s="1">
        <v>5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</row>
    <row r="723" spans="2:19" x14ac:dyDescent="0.35">
      <c r="B723" s="1">
        <v>3773</v>
      </c>
      <c r="C723" s="1" t="s">
        <v>19</v>
      </c>
      <c r="D723" s="1" t="s">
        <v>20</v>
      </c>
      <c r="E723" s="1">
        <v>0</v>
      </c>
      <c r="F723" s="28">
        <v>0</v>
      </c>
      <c r="G723" s="28">
        <v>0</v>
      </c>
      <c r="H723" s="1">
        <v>2</v>
      </c>
      <c r="I723" s="1">
        <v>0</v>
      </c>
      <c r="J723" s="1">
        <v>0</v>
      </c>
      <c r="K723" s="1">
        <v>0</v>
      </c>
      <c r="L723" s="1">
        <v>1</v>
      </c>
      <c r="M723" s="1">
        <v>0</v>
      </c>
      <c r="N723" s="1">
        <v>7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</row>
    <row r="724" spans="2:19" x14ac:dyDescent="0.35">
      <c r="B724" s="1">
        <v>3774</v>
      </c>
      <c r="C724" s="1" t="s">
        <v>19</v>
      </c>
      <c r="D724" s="1" t="s">
        <v>18</v>
      </c>
      <c r="E724" s="1">
        <v>0</v>
      </c>
      <c r="F724" s="28">
        <v>0</v>
      </c>
      <c r="G724" s="28">
        <v>0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N724" s="1">
        <v>7</v>
      </c>
      <c r="O724" s="1">
        <v>2</v>
      </c>
      <c r="P724" s="1">
        <v>0</v>
      </c>
      <c r="Q724" s="1">
        <v>0</v>
      </c>
      <c r="R724" s="1">
        <v>0</v>
      </c>
      <c r="S724" s="1">
        <v>1</v>
      </c>
    </row>
    <row r="725" spans="2:19" x14ac:dyDescent="0.35">
      <c r="B725" s="1">
        <v>3775</v>
      </c>
      <c r="C725" s="1" t="s">
        <v>19</v>
      </c>
      <c r="D725" s="1" t="s">
        <v>18</v>
      </c>
      <c r="E725" s="1">
        <v>0</v>
      </c>
      <c r="F725" s="28">
        <v>0</v>
      </c>
      <c r="G725" s="28">
        <v>0</v>
      </c>
      <c r="H725" s="1">
        <v>0</v>
      </c>
      <c r="I725" s="1">
        <v>0</v>
      </c>
      <c r="J725" s="1">
        <v>2</v>
      </c>
      <c r="K725" s="1">
        <v>0</v>
      </c>
      <c r="L725" s="1">
        <v>2</v>
      </c>
      <c r="M725" s="1">
        <v>0</v>
      </c>
      <c r="N725" s="1">
        <v>6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</row>
    <row r="726" spans="2:19" x14ac:dyDescent="0.35">
      <c r="B726" s="1">
        <v>3776</v>
      </c>
      <c r="C726" s="1" t="s">
        <v>17</v>
      </c>
      <c r="D726" s="1" t="s">
        <v>18</v>
      </c>
      <c r="E726" s="1">
        <v>0</v>
      </c>
      <c r="F726" s="28">
        <v>0</v>
      </c>
      <c r="G726" s="28">
        <v>0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  <c r="M726" s="1">
        <v>1</v>
      </c>
      <c r="N726" s="1">
        <v>8</v>
      </c>
      <c r="O726" s="1">
        <v>0</v>
      </c>
      <c r="P726" s="1">
        <v>0</v>
      </c>
      <c r="Q726" s="1">
        <v>0</v>
      </c>
      <c r="R726" s="1">
        <v>0</v>
      </c>
      <c r="S726" s="1">
        <v>1</v>
      </c>
    </row>
    <row r="727" spans="2:19" x14ac:dyDescent="0.35">
      <c r="B727" s="1">
        <v>3777</v>
      </c>
      <c r="C727" s="1" t="s">
        <v>19</v>
      </c>
      <c r="D727" s="1" t="s">
        <v>20</v>
      </c>
      <c r="E727" s="1">
        <v>0</v>
      </c>
      <c r="F727" s="28">
        <v>0</v>
      </c>
      <c r="G727" s="28">
        <v>0</v>
      </c>
      <c r="H727" s="1">
        <v>1</v>
      </c>
      <c r="I727" s="1">
        <v>0</v>
      </c>
      <c r="J727" s="1">
        <v>0</v>
      </c>
      <c r="K727" s="1">
        <v>0</v>
      </c>
      <c r="L727" s="1">
        <v>0</v>
      </c>
      <c r="M727" s="1">
        <v>0</v>
      </c>
      <c r="N727" s="1">
        <v>8</v>
      </c>
      <c r="O727" s="1">
        <v>1</v>
      </c>
      <c r="P727" s="1">
        <v>0</v>
      </c>
      <c r="Q727" s="1">
        <v>0</v>
      </c>
      <c r="R727" s="1">
        <v>0</v>
      </c>
      <c r="S727" s="1">
        <v>0</v>
      </c>
    </row>
    <row r="728" spans="2:19" x14ac:dyDescent="0.35">
      <c r="B728" s="1">
        <v>3778</v>
      </c>
      <c r="C728" s="1" t="s">
        <v>19</v>
      </c>
      <c r="D728" s="1" t="s">
        <v>20</v>
      </c>
      <c r="E728" s="1">
        <v>0</v>
      </c>
      <c r="F728" s="28">
        <v>0</v>
      </c>
      <c r="G728" s="28">
        <v>0</v>
      </c>
      <c r="H728" s="1">
        <v>1</v>
      </c>
      <c r="I728" s="1">
        <v>0</v>
      </c>
      <c r="J728" s="1">
        <v>0</v>
      </c>
      <c r="K728" s="1">
        <v>0</v>
      </c>
      <c r="L728" s="1">
        <v>0</v>
      </c>
      <c r="M728" s="1">
        <v>0</v>
      </c>
      <c r="N728" s="1">
        <v>7</v>
      </c>
      <c r="O728" s="1">
        <v>2</v>
      </c>
      <c r="P728" s="1">
        <v>0</v>
      </c>
      <c r="Q728" s="1">
        <v>0</v>
      </c>
      <c r="R728" s="1">
        <v>0</v>
      </c>
      <c r="S728" s="1">
        <v>0</v>
      </c>
    </row>
    <row r="729" spans="2:19" x14ac:dyDescent="0.35">
      <c r="B729" s="1">
        <v>3779</v>
      </c>
      <c r="C729" s="1" t="s">
        <v>24</v>
      </c>
      <c r="D729" s="1" t="s">
        <v>20</v>
      </c>
      <c r="E729" s="1">
        <v>0</v>
      </c>
      <c r="F729" s="28">
        <v>0</v>
      </c>
      <c r="G729" s="28">
        <v>0</v>
      </c>
      <c r="H729" s="1">
        <v>0</v>
      </c>
      <c r="I729" s="1">
        <v>2</v>
      </c>
      <c r="J729" s="1">
        <v>0</v>
      </c>
      <c r="K729" s="1">
        <v>0</v>
      </c>
      <c r="L729" s="1">
        <v>0</v>
      </c>
      <c r="M729" s="1">
        <v>0</v>
      </c>
      <c r="N729" s="1">
        <v>7</v>
      </c>
      <c r="O729" s="1">
        <v>0</v>
      </c>
      <c r="P729" s="1">
        <v>0</v>
      </c>
      <c r="Q729" s="1">
        <v>0</v>
      </c>
      <c r="R729" s="1">
        <v>0</v>
      </c>
      <c r="S729" s="1">
        <v>1</v>
      </c>
    </row>
    <row r="730" spans="2:19" x14ac:dyDescent="0.35">
      <c r="B730" s="1">
        <v>3780</v>
      </c>
      <c r="C730" s="1" t="s">
        <v>24</v>
      </c>
      <c r="D730" s="1" t="s">
        <v>18</v>
      </c>
      <c r="E730" s="1">
        <v>0</v>
      </c>
      <c r="F730" s="28">
        <v>0</v>
      </c>
      <c r="G730" s="28">
        <v>0</v>
      </c>
      <c r="H730" s="1">
        <v>2</v>
      </c>
      <c r="I730" s="1">
        <v>0</v>
      </c>
      <c r="J730" s="1">
        <v>0</v>
      </c>
      <c r="K730" s="1">
        <v>0</v>
      </c>
      <c r="L730" s="1">
        <v>3</v>
      </c>
      <c r="M730" s="1">
        <v>0</v>
      </c>
      <c r="N730" s="1">
        <v>5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</row>
    <row r="731" spans="2:19" x14ac:dyDescent="0.35">
      <c r="B731" s="1">
        <v>3781</v>
      </c>
      <c r="C731" s="1" t="s">
        <v>25</v>
      </c>
      <c r="D731" s="1" t="s">
        <v>18</v>
      </c>
      <c r="E731" s="1">
        <v>0</v>
      </c>
      <c r="F731" s="28">
        <v>0</v>
      </c>
      <c r="G731" s="28">
        <v>0</v>
      </c>
      <c r="H731" s="1">
        <v>0</v>
      </c>
      <c r="I731" s="1">
        <v>0</v>
      </c>
      <c r="J731" s="1">
        <v>0</v>
      </c>
      <c r="K731" s="1">
        <v>0</v>
      </c>
      <c r="L731" s="1">
        <v>3</v>
      </c>
      <c r="M731" s="1">
        <v>0</v>
      </c>
      <c r="N731" s="1">
        <v>6</v>
      </c>
      <c r="O731" s="1">
        <v>0</v>
      </c>
      <c r="P731" s="1">
        <v>1</v>
      </c>
      <c r="Q731" s="1">
        <v>0</v>
      </c>
      <c r="R731" s="1">
        <v>0</v>
      </c>
      <c r="S731" s="1">
        <v>0</v>
      </c>
    </row>
    <row r="732" spans="2:19" x14ac:dyDescent="0.35">
      <c r="B732" s="1">
        <v>3782</v>
      </c>
      <c r="C732" s="1" t="s">
        <v>19</v>
      </c>
      <c r="D732" s="1" t="s">
        <v>18</v>
      </c>
      <c r="E732" s="1">
        <v>0</v>
      </c>
      <c r="F732" s="28">
        <v>0</v>
      </c>
      <c r="G732" s="28">
        <v>0</v>
      </c>
      <c r="H732" s="1">
        <v>0</v>
      </c>
      <c r="I732" s="1">
        <v>0</v>
      </c>
      <c r="J732" s="1">
        <v>2</v>
      </c>
      <c r="K732" s="1">
        <v>0</v>
      </c>
      <c r="L732" s="1">
        <v>0</v>
      </c>
      <c r="M732" s="1">
        <v>0</v>
      </c>
      <c r="N732" s="1">
        <v>7</v>
      </c>
      <c r="O732" s="1">
        <v>0</v>
      </c>
      <c r="P732" s="1">
        <v>0</v>
      </c>
      <c r="Q732" s="1">
        <v>0</v>
      </c>
      <c r="R732" s="1">
        <v>0</v>
      </c>
      <c r="S732" s="1">
        <v>1</v>
      </c>
    </row>
    <row r="733" spans="2:19" x14ac:dyDescent="0.35">
      <c r="B733" s="1">
        <v>3783</v>
      </c>
      <c r="C733" s="1" t="s">
        <v>23</v>
      </c>
      <c r="D733" s="1" t="s">
        <v>18</v>
      </c>
      <c r="E733" s="1">
        <v>0</v>
      </c>
      <c r="F733" s="28">
        <v>0</v>
      </c>
      <c r="G733" s="28">
        <v>0</v>
      </c>
      <c r="H733" s="1">
        <v>0</v>
      </c>
      <c r="I733" s="1">
        <v>0</v>
      </c>
      <c r="J733" s="1">
        <v>3</v>
      </c>
      <c r="K733" s="1">
        <v>0</v>
      </c>
      <c r="L733" s="1">
        <v>1</v>
      </c>
      <c r="M733" s="1">
        <v>0</v>
      </c>
      <c r="N733" s="1">
        <v>6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</row>
    <row r="734" spans="2:19" x14ac:dyDescent="0.35">
      <c r="B734" s="1">
        <v>3784</v>
      </c>
      <c r="C734" s="1" t="s">
        <v>22</v>
      </c>
      <c r="D734" s="1" t="s">
        <v>18</v>
      </c>
      <c r="E734" s="1">
        <v>0</v>
      </c>
      <c r="F734" s="28">
        <v>0</v>
      </c>
      <c r="G734" s="28">
        <v>0</v>
      </c>
      <c r="H734" s="1">
        <v>0</v>
      </c>
      <c r="I734" s="1">
        <v>2</v>
      </c>
      <c r="J734" s="1">
        <v>7</v>
      </c>
      <c r="K734" s="1">
        <v>0</v>
      </c>
      <c r="L734" s="1">
        <v>0</v>
      </c>
      <c r="M734" s="1">
        <v>1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</row>
    <row r="735" spans="2:19" x14ac:dyDescent="0.35">
      <c r="B735" s="1">
        <v>3785</v>
      </c>
      <c r="C735" s="1" t="s">
        <v>17</v>
      </c>
      <c r="D735" s="1" t="s">
        <v>18</v>
      </c>
      <c r="E735" s="1">
        <v>0</v>
      </c>
      <c r="F735" s="28">
        <v>1</v>
      </c>
      <c r="G735" s="28">
        <v>0</v>
      </c>
      <c r="H735" s="1">
        <v>0</v>
      </c>
      <c r="I735" s="1">
        <v>2</v>
      </c>
      <c r="J735" s="1">
        <v>7</v>
      </c>
      <c r="K735" s="1">
        <v>0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</row>
    <row r="736" spans="2:19" x14ac:dyDescent="0.35">
      <c r="B736" s="1">
        <v>3786</v>
      </c>
      <c r="C736" s="1" t="s">
        <v>19</v>
      </c>
      <c r="D736" s="1" t="s">
        <v>18</v>
      </c>
      <c r="E736" s="1">
        <v>2</v>
      </c>
      <c r="F736" s="28">
        <v>0</v>
      </c>
      <c r="G736" s="28">
        <v>0</v>
      </c>
      <c r="H736" s="1">
        <v>0</v>
      </c>
      <c r="I736" s="1">
        <v>3</v>
      </c>
      <c r="J736" s="1">
        <v>5</v>
      </c>
      <c r="K736" s="1">
        <v>0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</row>
    <row r="737" spans="2:19" x14ac:dyDescent="0.35">
      <c r="B737" s="1">
        <v>3787</v>
      </c>
      <c r="C737" s="1" t="s">
        <v>17</v>
      </c>
      <c r="D737" s="1" t="s">
        <v>20</v>
      </c>
      <c r="E737" s="1">
        <v>0</v>
      </c>
      <c r="F737" s="28">
        <v>0</v>
      </c>
      <c r="G737" s="28">
        <v>0</v>
      </c>
      <c r="H737" s="1">
        <v>2</v>
      </c>
      <c r="I737" s="1">
        <v>3</v>
      </c>
      <c r="J737" s="1">
        <v>5</v>
      </c>
      <c r="K737" s="1">
        <v>0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</row>
    <row r="738" spans="2:19" x14ac:dyDescent="0.35">
      <c r="B738" s="1">
        <v>3788</v>
      </c>
      <c r="C738" s="1" t="s">
        <v>19</v>
      </c>
      <c r="D738" s="1" t="s">
        <v>20</v>
      </c>
      <c r="E738" s="1">
        <v>0</v>
      </c>
      <c r="F738" s="28">
        <v>0</v>
      </c>
      <c r="G738" s="28">
        <v>0</v>
      </c>
      <c r="H738" s="1">
        <v>0</v>
      </c>
      <c r="I738" s="1">
        <v>4</v>
      </c>
      <c r="J738" s="1">
        <v>5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1</v>
      </c>
      <c r="Q738" s="1">
        <v>0</v>
      </c>
      <c r="R738" s="1">
        <v>0</v>
      </c>
      <c r="S738" s="1">
        <v>0</v>
      </c>
    </row>
    <row r="739" spans="2:19" x14ac:dyDescent="0.35">
      <c r="B739" s="1">
        <v>3789</v>
      </c>
      <c r="C739" s="1" t="s">
        <v>17</v>
      </c>
      <c r="D739" s="1" t="s">
        <v>20</v>
      </c>
      <c r="E739" s="1">
        <v>0</v>
      </c>
      <c r="F739" s="28">
        <v>0</v>
      </c>
      <c r="G739" s="28">
        <v>0</v>
      </c>
      <c r="H739" s="1">
        <v>0</v>
      </c>
      <c r="I739" s="1">
        <v>2</v>
      </c>
      <c r="J739" s="1">
        <v>7</v>
      </c>
      <c r="K739" s="1">
        <v>0</v>
      </c>
      <c r="L739" s="1">
        <v>0</v>
      </c>
      <c r="M739" s="1">
        <v>0</v>
      </c>
      <c r="N739" s="1">
        <v>0</v>
      </c>
      <c r="O739" s="1">
        <v>1</v>
      </c>
      <c r="P739" s="1">
        <v>0</v>
      </c>
      <c r="Q739" s="1">
        <v>0</v>
      </c>
      <c r="R739" s="1">
        <v>0</v>
      </c>
      <c r="S739" s="1">
        <v>0</v>
      </c>
    </row>
    <row r="740" spans="2:19" x14ac:dyDescent="0.35">
      <c r="B740" s="1">
        <v>3790</v>
      </c>
      <c r="C740" s="1" t="s">
        <v>26</v>
      </c>
      <c r="D740" s="1" t="s">
        <v>18</v>
      </c>
      <c r="E740" s="1">
        <v>0</v>
      </c>
      <c r="F740" s="28">
        <v>0</v>
      </c>
      <c r="G740" s="28">
        <v>0</v>
      </c>
      <c r="H740" s="1">
        <v>0</v>
      </c>
      <c r="I740" s="1">
        <v>3</v>
      </c>
      <c r="J740" s="1">
        <v>5</v>
      </c>
      <c r="K740" s="1">
        <v>0</v>
      </c>
      <c r="L740" s="1">
        <v>0</v>
      </c>
      <c r="M740" s="1">
        <v>0</v>
      </c>
      <c r="N740" s="1">
        <v>2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</row>
    <row r="741" spans="2:19" x14ac:dyDescent="0.35">
      <c r="B741" s="1">
        <v>3791</v>
      </c>
      <c r="C741" s="1" t="s">
        <v>17</v>
      </c>
      <c r="D741" s="1" t="s">
        <v>20</v>
      </c>
      <c r="E741" s="1">
        <v>0</v>
      </c>
      <c r="F741" s="28">
        <v>2</v>
      </c>
      <c r="G741" s="28">
        <v>0</v>
      </c>
      <c r="H741" s="1">
        <v>0</v>
      </c>
      <c r="I741" s="1">
        <v>3</v>
      </c>
      <c r="J741" s="1">
        <v>5</v>
      </c>
      <c r="K741" s="1">
        <v>0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</row>
    <row r="742" spans="2:19" x14ac:dyDescent="0.35">
      <c r="B742" s="1">
        <v>3792</v>
      </c>
      <c r="C742" s="1" t="s">
        <v>22</v>
      </c>
      <c r="D742" s="1" t="s">
        <v>18</v>
      </c>
      <c r="E742" s="1">
        <v>0</v>
      </c>
      <c r="F742" s="28">
        <v>0</v>
      </c>
      <c r="G742" s="28">
        <v>0</v>
      </c>
      <c r="H742" s="1">
        <v>0</v>
      </c>
      <c r="I742" s="1">
        <v>1</v>
      </c>
      <c r="J742" s="1">
        <v>8</v>
      </c>
      <c r="K742" s="1">
        <v>0</v>
      </c>
      <c r="L742" s="1">
        <v>0</v>
      </c>
      <c r="M742" s="1">
        <v>1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</row>
    <row r="743" spans="2:19" x14ac:dyDescent="0.35">
      <c r="B743" s="1">
        <v>3793</v>
      </c>
      <c r="C743" s="1" t="s">
        <v>19</v>
      </c>
      <c r="D743" s="1" t="s">
        <v>20</v>
      </c>
      <c r="E743" s="1">
        <v>0</v>
      </c>
      <c r="F743" s="28">
        <v>0</v>
      </c>
      <c r="G743" s="28">
        <v>0</v>
      </c>
      <c r="H743" s="1">
        <v>0</v>
      </c>
      <c r="I743" s="1">
        <v>2</v>
      </c>
      <c r="J743" s="1">
        <v>7</v>
      </c>
      <c r="K743" s="1">
        <v>0</v>
      </c>
      <c r="L743" s="1">
        <v>0</v>
      </c>
      <c r="M743" s="1">
        <v>0</v>
      </c>
      <c r="N743" s="1">
        <v>0</v>
      </c>
      <c r="O743" s="1">
        <v>0</v>
      </c>
      <c r="P743" s="1">
        <v>1</v>
      </c>
      <c r="Q743" s="1">
        <v>0</v>
      </c>
      <c r="R743" s="1">
        <v>0</v>
      </c>
      <c r="S743" s="1">
        <v>0</v>
      </c>
    </row>
    <row r="744" spans="2:19" x14ac:dyDescent="0.35">
      <c r="B744" s="1">
        <v>3794</v>
      </c>
      <c r="C744" s="1" t="s">
        <v>17</v>
      </c>
      <c r="D744" s="1" t="s">
        <v>18</v>
      </c>
      <c r="E744" s="1">
        <v>0</v>
      </c>
      <c r="F744" s="28">
        <v>0</v>
      </c>
      <c r="G744" s="28">
        <v>0</v>
      </c>
      <c r="H744" s="1">
        <v>0</v>
      </c>
      <c r="I744" s="1">
        <v>3</v>
      </c>
      <c r="J744" s="1">
        <v>5</v>
      </c>
      <c r="K744" s="1">
        <v>0</v>
      </c>
      <c r="L744" s="1">
        <v>0</v>
      </c>
      <c r="M744" s="1">
        <v>0</v>
      </c>
      <c r="N744" s="1">
        <v>2</v>
      </c>
      <c r="O744" s="1">
        <v>0</v>
      </c>
      <c r="P744" s="1">
        <v>0</v>
      </c>
      <c r="Q744" s="1">
        <v>0</v>
      </c>
      <c r="R744" s="1">
        <v>0</v>
      </c>
      <c r="S744" s="1">
        <v>0</v>
      </c>
    </row>
    <row r="745" spans="2:19" x14ac:dyDescent="0.35">
      <c r="B745" s="1">
        <v>3795</v>
      </c>
      <c r="C745" s="1" t="s">
        <v>24</v>
      </c>
      <c r="D745" s="1" t="s">
        <v>18</v>
      </c>
      <c r="E745" s="1">
        <v>0</v>
      </c>
      <c r="F745" s="28">
        <v>0</v>
      </c>
      <c r="G745" s="28">
        <v>0</v>
      </c>
      <c r="H745" s="1">
        <v>0</v>
      </c>
      <c r="I745" s="1">
        <v>4</v>
      </c>
      <c r="J745" s="1">
        <v>5</v>
      </c>
      <c r="K745" s="1">
        <v>0</v>
      </c>
      <c r="L745" s="1">
        <v>0</v>
      </c>
      <c r="M745" s="1">
        <v>1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</row>
    <row r="746" spans="2:19" x14ac:dyDescent="0.35">
      <c r="B746" s="1">
        <v>3796</v>
      </c>
      <c r="C746" s="1" t="s">
        <v>26</v>
      </c>
      <c r="D746" s="1" t="s">
        <v>18</v>
      </c>
      <c r="E746" s="1">
        <v>0</v>
      </c>
      <c r="F746" s="28">
        <v>0</v>
      </c>
      <c r="G746" s="28">
        <v>0</v>
      </c>
      <c r="H746" s="1">
        <v>0</v>
      </c>
      <c r="I746" s="1">
        <v>1</v>
      </c>
      <c r="J746" s="1">
        <v>8</v>
      </c>
      <c r="K746" s="1">
        <v>0</v>
      </c>
      <c r="L746" s="1">
        <v>1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</row>
    <row r="747" spans="2:19" x14ac:dyDescent="0.35">
      <c r="B747" s="1">
        <v>3797</v>
      </c>
      <c r="C747" s="1" t="s">
        <v>22</v>
      </c>
      <c r="D747" s="1" t="s">
        <v>20</v>
      </c>
      <c r="E747" s="1">
        <v>0</v>
      </c>
      <c r="F747" s="28">
        <v>0</v>
      </c>
      <c r="G747" s="28">
        <v>0</v>
      </c>
      <c r="H747" s="1">
        <v>0</v>
      </c>
      <c r="I747" s="1">
        <v>3</v>
      </c>
      <c r="J747" s="1">
        <v>5</v>
      </c>
      <c r="K747" s="1">
        <v>0</v>
      </c>
      <c r="L747" s="1">
        <v>0</v>
      </c>
      <c r="M747" s="1">
        <v>0</v>
      </c>
      <c r="N747" s="1">
        <v>2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</row>
    <row r="748" spans="2:19" x14ac:dyDescent="0.35">
      <c r="B748" s="1">
        <v>3798</v>
      </c>
      <c r="C748" s="1" t="s">
        <v>19</v>
      </c>
      <c r="D748" s="1" t="s">
        <v>18</v>
      </c>
      <c r="E748" s="1">
        <v>0</v>
      </c>
      <c r="F748" s="28">
        <v>0</v>
      </c>
      <c r="G748" s="28">
        <v>0</v>
      </c>
      <c r="H748" s="1">
        <v>0</v>
      </c>
      <c r="I748" s="1">
        <v>1</v>
      </c>
      <c r="J748" s="1">
        <v>8</v>
      </c>
      <c r="K748" s="1">
        <v>0</v>
      </c>
      <c r="L748" s="1">
        <v>0</v>
      </c>
      <c r="M748" s="1">
        <v>1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S748" s="1">
        <v>0</v>
      </c>
    </row>
    <row r="749" spans="2:19" x14ac:dyDescent="0.35">
      <c r="B749" s="1">
        <v>3799</v>
      </c>
      <c r="C749" s="1" t="s">
        <v>17</v>
      </c>
      <c r="D749" s="1" t="s">
        <v>20</v>
      </c>
      <c r="E749" s="1">
        <v>0</v>
      </c>
      <c r="F749" s="28">
        <v>0</v>
      </c>
      <c r="G749" s="28">
        <v>0</v>
      </c>
      <c r="H749" s="1">
        <v>0</v>
      </c>
      <c r="I749" s="1">
        <v>1</v>
      </c>
      <c r="J749" s="1">
        <v>8</v>
      </c>
      <c r="K749" s="1">
        <v>0</v>
      </c>
      <c r="L749" s="1">
        <v>0</v>
      </c>
      <c r="M749" s="1">
        <v>0</v>
      </c>
      <c r="N749" s="1">
        <v>1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</row>
    <row r="750" spans="2:19" x14ac:dyDescent="0.35">
      <c r="B750" s="1">
        <v>3800</v>
      </c>
      <c r="C750" s="1" t="s">
        <v>17</v>
      </c>
      <c r="D750" s="1" t="s">
        <v>18</v>
      </c>
      <c r="E750" s="1">
        <v>0</v>
      </c>
      <c r="F750" s="28">
        <v>0</v>
      </c>
      <c r="G750" s="28">
        <v>0</v>
      </c>
      <c r="H750" s="1">
        <v>0</v>
      </c>
      <c r="I750" s="1">
        <v>2</v>
      </c>
      <c r="J750" s="1">
        <v>6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2</v>
      </c>
      <c r="Q750" s="1">
        <v>0</v>
      </c>
      <c r="R750" s="1">
        <v>0</v>
      </c>
      <c r="S750" s="1">
        <v>0</v>
      </c>
    </row>
    <row r="751" spans="2:19" x14ac:dyDescent="0.35">
      <c r="B751" s="1">
        <v>3801</v>
      </c>
      <c r="C751" s="1" t="s">
        <v>21</v>
      </c>
      <c r="D751" s="1" t="s">
        <v>20</v>
      </c>
      <c r="E751" s="1">
        <v>0</v>
      </c>
      <c r="F751" s="28">
        <v>0</v>
      </c>
      <c r="G751" s="28">
        <v>0</v>
      </c>
      <c r="H751" s="1">
        <v>0</v>
      </c>
      <c r="I751" s="1">
        <v>3</v>
      </c>
      <c r="J751" s="1">
        <v>6</v>
      </c>
      <c r="K751" s="1">
        <v>0</v>
      </c>
      <c r="L751" s="1">
        <v>1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</row>
    <row r="752" spans="2:19" x14ac:dyDescent="0.35">
      <c r="B752" s="1">
        <v>3802</v>
      </c>
      <c r="C752" s="1" t="s">
        <v>22</v>
      </c>
      <c r="D752" s="1" t="s">
        <v>18</v>
      </c>
      <c r="E752" s="1">
        <v>0</v>
      </c>
      <c r="F752" s="28">
        <v>0</v>
      </c>
      <c r="G752" s="28">
        <v>0</v>
      </c>
      <c r="H752" s="1">
        <v>0</v>
      </c>
      <c r="I752" s="1">
        <v>3</v>
      </c>
      <c r="J752" s="1">
        <v>7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</row>
    <row r="753" spans="2:19" x14ac:dyDescent="0.35">
      <c r="B753" s="1">
        <v>3803</v>
      </c>
      <c r="C753" s="1" t="s">
        <v>17</v>
      </c>
      <c r="D753" s="1" t="s">
        <v>18</v>
      </c>
      <c r="E753" s="1">
        <v>0</v>
      </c>
      <c r="F753" s="28">
        <v>0</v>
      </c>
      <c r="G753" s="28">
        <v>0</v>
      </c>
      <c r="H753" s="1">
        <v>0</v>
      </c>
      <c r="I753" s="1">
        <v>1</v>
      </c>
      <c r="J753" s="1">
        <v>8</v>
      </c>
      <c r="K753" s="1">
        <v>0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1</v>
      </c>
    </row>
    <row r="754" spans="2:19" x14ac:dyDescent="0.35">
      <c r="B754" s="1">
        <v>3804</v>
      </c>
      <c r="C754" s="1" t="s">
        <v>22</v>
      </c>
      <c r="D754" s="1" t="s">
        <v>18</v>
      </c>
      <c r="E754" s="1">
        <v>0</v>
      </c>
      <c r="F754" s="28">
        <v>0</v>
      </c>
      <c r="G754" s="28">
        <v>0</v>
      </c>
      <c r="H754" s="1">
        <v>0</v>
      </c>
      <c r="I754" s="1">
        <v>3</v>
      </c>
      <c r="J754" s="1">
        <v>5</v>
      </c>
      <c r="K754" s="1">
        <v>0</v>
      </c>
      <c r="L754" s="1">
        <v>0</v>
      </c>
      <c r="M754" s="1">
        <v>0</v>
      </c>
      <c r="N754" s="1">
        <v>2</v>
      </c>
      <c r="O754" s="1">
        <v>0</v>
      </c>
      <c r="P754" s="1">
        <v>0</v>
      </c>
      <c r="Q754" s="1">
        <v>0</v>
      </c>
      <c r="R754" s="1">
        <v>0</v>
      </c>
      <c r="S754" s="1">
        <v>0</v>
      </c>
    </row>
    <row r="755" spans="2:19" x14ac:dyDescent="0.35">
      <c r="B755" s="1">
        <v>3805</v>
      </c>
      <c r="C755" s="1" t="s">
        <v>24</v>
      </c>
      <c r="D755" s="1" t="s">
        <v>20</v>
      </c>
      <c r="E755" s="1">
        <v>0</v>
      </c>
      <c r="F755" s="28">
        <v>4</v>
      </c>
      <c r="G755" s="28">
        <v>1</v>
      </c>
      <c r="H755" s="1">
        <v>0</v>
      </c>
      <c r="I755" s="1">
        <v>5</v>
      </c>
      <c r="J755" s="1">
        <v>0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</row>
    <row r="756" spans="2:19" x14ac:dyDescent="0.35">
      <c r="B756" s="1">
        <v>3806</v>
      </c>
      <c r="C756" s="1" t="s">
        <v>22</v>
      </c>
      <c r="D756" s="1" t="s">
        <v>20</v>
      </c>
      <c r="E756" s="1">
        <v>7</v>
      </c>
      <c r="F756" s="28">
        <v>2</v>
      </c>
      <c r="G756" s="28">
        <v>0</v>
      </c>
      <c r="H756" s="1">
        <v>0</v>
      </c>
      <c r="I756" s="1">
        <v>0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1</v>
      </c>
      <c r="R756" s="1">
        <v>0</v>
      </c>
      <c r="S756" s="1">
        <v>0</v>
      </c>
    </row>
    <row r="757" spans="2:19" x14ac:dyDescent="0.35">
      <c r="B757" s="1">
        <v>3807</v>
      </c>
      <c r="C757" s="1" t="s">
        <v>17</v>
      </c>
      <c r="D757" s="1" t="s">
        <v>18</v>
      </c>
      <c r="E757" s="1">
        <v>0</v>
      </c>
      <c r="F757" s="28">
        <v>3</v>
      </c>
      <c r="G757" s="28">
        <v>0</v>
      </c>
      <c r="H757" s="1">
        <v>0</v>
      </c>
      <c r="I757" s="1">
        <v>5</v>
      </c>
      <c r="J757" s="1">
        <v>2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</row>
    <row r="758" spans="2:19" x14ac:dyDescent="0.35">
      <c r="B758" s="1">
        <v>3808</v>
      </c>
      <c r="C758" s="1" t="s">
        <v>17</v>
      </c>
      <c r="D758" s="1" t="s">
        <v>20</v>
      </c>
      <c r="E758" s="1">
        <v>0</v>
      </c>
      <c r="F758" s="28">
        <v>4</v>
      </c>
      <c r="G758" s="28">
        <v>0</v>
      </c>
      <c r="H758" s="1">
        <v>0</v>
      </c>
      <c r="I758" s="1">
        <v>5</v>
      </c>
      <c r="J758" s="1">
        <v>0</v>
      </c>
      <c r="K758" s="1">
        <v>0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1</v>
      </c>
    </row>
    <row r="759" spans="2:19" x14ac:dyDescent="0.35">
      <c r="B759" s="1">
        <v>3809</v>
      </c>
      <c r="C759" s="1" t="s">
        <v>21</v>
      </c>
      <c r="D759" s="1" t="s">
        <v>20</v>
      </c>
      <c r="E759" s="1">
        <v>6</v>
      </c>
      <c r="F759" s="28">
        <v>3</v>
      </c>
      <c r="G759" s="28">
        <v>0</v>
      </c>
      <c r="H759" s="1">
        <v>0</v>
      </c>
      <c r="I759" s="1">
        <v>0</v>
      </c>
      <c r="J759" s="1">
        <v>0</v>
      </c>
      <c r="K759" s="1">
        <v>0</v>
      </c>
      <c r="L759" s="1">
        <v>0</v>
      </c>
      <c r="M759" s="1">
        <v>0</v>
      </c>
      <c r="N759" s="1">
        <v>1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</row>
    <row r="760" spans="2:19" x14ac:dyDescent="0.35">
      <c r="B760" s="1">
        <v>3810</v>
      </c>
      <c r="C760" s="1" t="s">
        <v>17</v>
      </c>
      <c r="D760" s="1" t="s">
        <v>20</v>
      </c>
      <c r="E760" s="1">
        <v>0</v>
      </c>
      <c r="F760" s="28">
        <v>2</v>
      </c>
      <c r="G760" s="28">
        <v>0</v>
      </c>
      <c r="H760" s="1">
        <v>2</v>
      </c>
      <c r="I760" s="1">
        <v>6</v>
      </c>
      <c r="J760" s="1">
        <v>0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</row>
    <row r="761" spans="2:19" x14ac:dyDescent="0.35">
      <c r="B761" s="1">
        <v>3811</v>
      </c>
      <c r="C761" s="1" t="s">
        <v>21</v>
      </c>
      <c r="D761" s="1" t="s">
        <v>20</v>
      </c>
      <c r="E761" s="1">
        <v>0</v>
      </c>
      <c r="F761" s="28">
        <v>1</v>
      </c>
      <c r="G761" s="28">
        <v>0</v>
      </c>
      <c r="H761" s="1">
        <v>0</v>
      </c>
      <c r="I761" s="1">
        <v>8</v>
      </c>
      <c r="J761" s="1">
        <v>0</v>
      </c>
      <c r="K761" s="1">
        <v>0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1</v>
      </c>
      <c r="R761" s="1">
        <v>0</v>
      </c>
      <c r="S761" s="1">
        <v>0</v>
      </c>
    </row>
    <row r="762" spans="2:19" x14ac:dyDescent="0.35">
      <c r="B762" s="1">
        <v>3812</v>
      </c>
      <c r="C762" s="1" t="s">
        <v>17</v>
      </c>
      <c r="D762" s="1" t="s">
        <v>20</v>
      </c>
      <c r="E762" s="1">
        <v>0</v>
      </c>
      <c r="F762" s="28">
        <v>1</v>
      </c>
      <c r="G762" s="28">
        <v>0</v>
      </c>
      <c r="H762" s="1">
        <v>0</v>
      </c>
      <c r="I762" s="1">
        <v>8</v>
      </c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1</v>
      </c>
      <c r="R762" s="1">
        <v>0</v>
      </c>
      <c r="S762" s="1">
        <v>0</v>
      </c>
    </row>
    <row r="763" spans="2:19" x14ac:dyDescent="0.35">
      <c r="B763" s="1">
        <v>3813</v>
      </c>
      <c r="C763" s="1" t="s">
        <v>19</v>
      </c>
      <c r="D763" s="1" t="s">
        <v>18</v>
      </c>
      <c r="E763" s="1">
        <v>1</v>
      </c>
      <c r="F763" s="28">
        <v>1</v>
      </c>
      <c r="G763" s="28">
        <v>0</v>
      </c>
      <c r="H763" s="1">
        <v>0</v>
      </c>
      <c r="I763" s="1">
        <v>8</v>
      </c>
      <c r="J763" s="1">
        <v>0</v>
      </c>
      <c r="K763" s="1">
        <v>0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</row>
    <row r="764" spans="2:19" x14ac:dyDescent="0.35">
      <c r="B764" s="1">
        <v>3814</v>
      </c>
      <c r="C764" s="1" t="s">
        <v>17</v>
      </c>
      <c r="D764" s="1" t="s">
        <v>20</v>
      </c>
      <c r="E764" s="1">
        <v>0</v>
      </c>
      <c r="F764" s="28">
        <v>1</v>
      </c>
      <c r="G764" s="28">
        <v>0</v>
      </c>
      <c r="H764" s="1">
        <v>0</v>
      </c>
      <c r="I764" s="1">
        <v>8</v>
      </c>
      <c r="J764" s="1">
        <v>0</v>
      </c>
      <c r="K764" s="1">
        <v>0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1</v>
      </c>
      <c r="R764" s="1">
        <v>0</v>
      </c>
      <c r="S764" s="1">
        <v>0</v>
      </c>
    </row>
    <row r="765" spans="2:19" x14ac:dyDescent="0.35">
      <c r="B765" s="1">
        <v>3815</v>
      </c>
      <c r="C765" s="1" t="s">
        <v>17</v>
      </c>
      <c r="D765" s="1" t="s">
        <v>20</v>
      </c>
      <c r="E765" s="1">
        <v>2</v>
      </c>
      <c r="F765" s="28">
        <v>0</v>
      </c>
      <c r="G765" s="28">
        <v>0</v>
      </c>
      <c r="H765" s="1">
        <v>0</v>
      </c>
      <c r="I765" s="1">
        <v>7</v>
      </c>
      <c r="J765" s="1">
        <v>0</v>
      </c>
      <c r="K765" s="1">
        <v>0</v>
      </c>
      <c r="L765" s="1">
        <v>0</v>
      </c>
      <c r="M765" s="1">
        <v>0</v>
      </c>
      <c r="N765" s="1">
        <v>0</v>
      </c>
      <c r="O765" s="1">
        <v>1</v>
      </c>
      <c r="P765" s="1">
        <v>0</v>
      </c>
      <c r="Q765" s="1">
        <v>0</v>
      </c>
      <c r="R765" s="1">
        <v>0</v>
      </c>
      <c r="S765" s="1">
        <v>0</v>
      </c>
    </row>
    <row r="766" spans="2:19" x14ac:dyDescent="0.35">
      <c r="B766" s="1">
        <v>3816</v>
      </c>
      <c r="C766" s="1" t="s">
        <v>17</v>
      </c>
      <c r="D766" s="1" t="s">
        <v>20</v>
      </c>
      <c r="E766" s="1">
        <v>0</v>
      </c>
      <c r="F766" s="28">
        <v>2</v>
      </c>
      <c r="G766" s="28">
        <v>0</v>
      </c>
      <c r="H766" s="1">
        <v>0</v>
      </c>
      <c r="I766" s="1">
        <v>7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1</v>
      </c>
    </row>
    <row r="767" spans="2:19" x14ac:dyDescent="0.35">
      <c r="B767" s="1">
        <v>3817</v>
      </c>
      <c r="C767" s="1" t="s">
        <v>19</v>
      </c>
      <c r="D767" s="1" t="s">
        <v>20</v>
      </c>
      <c r="E767" s="1">
        <v>0</v>
      </c>
      <c r="F767" s="28">
        <v>0</v>
      </c>
      <c r="G767" s="28">
        <v>0</v>
      </c>
      <c r="H767" s="1">
        <v>4</v>
      </c>
      <c r="I767" s="1">
        <v>5</v>
      </c>
      <c r="J767" s="1">
        <v>0</v>
      </c>
      <c r="K767" s="1">
        <v>0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1</v>
      </c>
    </row>
    <row r="768" spans="2:19" x14ac:dyDescent="0.35">
      <c r="B768" s="1">
        <v>3818</v>
      </c>
      <c r="C768" s="1" t="s">
        <v>22</v>
      </c>
      <c r="D768" s="1" t="s">
        <v>20</v>
      </c>
      <c r="E768" s="1">
        <v>6</v>
      </c>
      <c r="F768" s="28">
        <v>2</v>
      </c>
      <c r="G768" s="28">
        <v>2</v>
      </c>
      <c r="H768" s="1">
        <v>0</v>
      </c>
      <c r="I768" s="1">
        <v>0</v>
      </c>
      <c r="J768" s="1">
        <v>0</v>
      </c>
      <c r="K768" s="1">
        <v>0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</row>
    <row r="769" spans="2:19" x14ac:dyDescent="0.35">
      <c r="B769" s="1">
        <v>3819</v>
      </c>
      <c r="C769" s="1" t="s">
        <v>17</v>
      </c>
      <c r="D769" s="1" t="s">
        <v>20</v>
      </c>
      <c r="E769" s="1">
        <v>4</v>
      </c>
      <c r="F769" s="28">
        <v>0</v>
      </c>
      <c r="G769" s="28">
        <v>0</v>
      </c>
      <c r="H769" s="1">
        <v>0</v>
      </c>
      <c r="I769" s="1">
        <v>5</v>
      </c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1</v>
      </c>
    </row>
    <row r="770" spans="2:19" x14ac:dyDescent="0.35">
      <c r="B770" s="1">
        <v>3820</v>
      </c>
      <c r="C770" s="1" t="s">
        <v>23</v>
      </c>
      <c r="D770" s="1" t="s">
        <v>20</v>
      </c>
      <c r="E770" s="1">
        <v>1</v>
      </c>
      <c r="F770" s="28">
        <v>0</v>
      </c>
      <c r="G770" s="28">
        <v>0</v>
      </c>
      <c r="H770" s="1">
        <v>0</v>
      </c>
      <c r="I770" s="1">
        <v>8</v>
      </c>
      <c r="J770" s="1">
        <v>0</v>
      </c>
      <c r="K770" s="1">
        <v>0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1</v>
      </c>
    </row>
    <row r="771" spans="2:19" x14ac:dyDescent="0.35">
      <c r="B771" s="1">
        <v>3821</v>
      </c>
      <c r="C771" s="1" t="s">
        <v>19</v>
      </c>
      <c r="D771" s="1" t="s">
        <v>18</v>
      </c>
      <c r="E771" s="1">
        <v>0</v>
      </c>
      <c r="F771" s="28">
        <v>0</v>
      </c>
      <c r="G771" s="28">
        <v>0</v>
      </c>
      <c r="H771" s="1">
        <v>1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N771" s="1">
        <v>8</v>
      </c>
      <c r="O771" s="1">
        <v>1</v>
      </c>
      <c r="P771" s="1">
        <v>0</v>
      </c>
      <c r="Q771" s="1">
        <v>0</v>
      </c>
      <c r="R771" s="1">
        <v>0</v>
      </c>
      <c r="S771" s="1">
        <v>0</v>
      </c>
    </row>
    <row r="772" spans="2:19" x14ac:dyDescent="0.35">
      <c r="B772" s="1">
        <v>3822</v>
      </c>
      <c r="C772" s="1" t="s">
        <v>17</v>
      </c>
      <c r="D772" s="1" t="s">
        <v>18</v>
      </c>
      <c r="E772" s="1">
        <v>0</v>
      </c>
      <c r="F772" s="28">
        <v>0</v>
      </c>
      <c r="G772" s="28">
        <v>0</v>
      </c>
      <c r="H772" s="1">
        <v>1</v>
      </c>
      <c r="I772" s="1">
        <v>0</v>
      </c>
      <c r="J772" s="1">
        <v>0</v>
      </c>
      <c r="K772" s="1">
        <v>0</v>
      </c>
      <c r="L772" s="1">
        <v>0</v>
      </c>
      <c r="M772" s="1">
        <v>0</v>
      </c>
      <c r="N772" s="1">
        <v>8</v>
      </c>
      <c r="O772" s="1">
        <v>0</v>
      </c>
      <c r="P772" s="1">
        <v>1</v>
      </c>
      <c r="Q772" s="1">
        <v>0</v>
      </c>
      <c r="R772" s="1">
        <v>0</v>
      </c>
      <c r="S772" s="1">
        <v>0</v>
      </c>
    </row>
    <row r="773" spans="2:19" x14ac:dyDescent="0.35">
      <c r="B773" s="1">
        <v>3823</v>
      </c>
      <c r="C773" s="1" t="s">
        <v>19</v>
      </c>
      <c r="D773" s="1" t="s">
        <v>20</v>
      </c>
      <c r="E773" s="1">
        <v>0</v>
      </c>
      <c r="F773" s="28">
        <v>0</v>
      </c>
      <c r="G773" s="28">
        <v>0</v>
      </c>
      <c r="H773" s="1">
        <v>0</v>
      </c>
      <c r="I773" s="1">
        <v>0</v>
      </c>
      <c r="J773" s="1">
        <v>0</v>
      </c>
      <c r="K773" s="1">
        <v>0</v>
      </c>
      <c r="L773" s="1">
        <v>0</v>
      </c>
      <c r="M773" s="1">
        <v>0</v>
      </c>
      <c r="N773" s="1">
        <v>3</v>
      </c>
      <c r="O773" s="1">
        <v>0</v>
      </c>
      <c r="P773" s="1">
        <v>1</v>
      </c>
      <c r="Q773" s="1">
        <v>0</v>
      </c>
      <c r="R773" s="1">
        <v>0</v>
      </c>
      <c r="S773" s="1">
        <v>6</v>
      </c>
    </row>
    <row r="774" spans="2:19" x14ac:dyDescent="0.35">
      <c r="B774" s="1">
        <v>3824</v>
      </c>
      <c r="C774" s="1" t="s">
        <v>17</v>
      </c>
      <c r="D774" s="1" t="s">
        <v>18</v>
      </c>
      <c r="E774" s="1">
        <v>0</v>
      </c>
      <c r="F774" s="28">
        <v>0</v>
      </c>
      <c r="G774" s="28">
        <v>0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10</v>
      </c>
    </row>
    <row r="775" spans="2:19" x14ac:dyDescent="0.35">
      <c r="B775" s="1">
        <v>3825</v>
      </c>
      <c r="C775" s="1" t="s">
        <v>26</v>
      </c>
      <c r="D775" s="1" t="s">
        <v>18</v>
      </c>
      <c r="E775" s="1">
        <v>0</v>
      </c>
      <c r="F775" s="28">
        <v>0</v>
      </c>
      <c r="G775" s="28">
        <v>0</v>
      </c>
      <c r="H775" s="1">
        <v>4</v>
      </c>
      <c r="I775" s="1">
        <v>0</v>
      </c>
      <c r="J775" s="1">
        <v>0</v>
      </c>
      <c r="K775" s="1">
        <v>0</v>
      </c>
      <c r="L775" s="1">
        <v>1</v>
      </c>
      <c r="M775" s="1">
        <v>0</v>
      </c>
      <c r="N775" s="1">
        <v>5</v>
      </c>
      <c r="O775" s="1">
        <v>0</v>
      </c>
      <c r="P775" s="1">
        <v>0</v>
      </c>
      <c r="Q775" s="1">
        <v>0</v>
      </c>
      <c r="R775" s="1">
        <v>0</v>
      </c>
      <c r="S775" s="1">
        <v>0</v>
      </c>
    </row>
    <row r="776" spans="2:19" x14ac:dyDescent="0.35">
      <c r="B776" s="1">
        <v>3826</v>
      </c>
      <c r="C776" s="1" t="s">
        <v>22</v>
      </c>
      <c r="D776" s="1" t="s">
        <v>18</v>
      </c>
      <c r="E776" s="1">
        <v>0</v>
      </c>
      <c r="F776" s="28">
        <v>0</v>
      </c>
      <c r="G776" s="28">
        <v>0</v>
      </c>
      <c r="H776" s="1">
        <v>2</v>
      </c>
      <c r="I776" s="1">
        <v>0</v>
      </c>
      <c r="J776" s="1">
        <v>0</v>
      </c>
      <c r="K776" s="1">
        <v>0</v>
      </c>
      <c r="L776" s="1">
        <v>0</v>
      </c>
      <c r="M776" s="1">
        <v>0</v>
      </c>
      <c r="N776" s="1">
        <v>7</v>
      </c>
      <c r="O776" s="1">
        <v>0</v>
      </c>
      <c r="P776" s="1">
        <v>0</v>
      </c>
      <c r="Q776" s="1">
        <v>0</v>
      </c>
      <c r="R776" s="1">
        <v>0</v>
      </c>
      <c r="S776" s="1">
        <v>1</v>
      </c>
    </row>
    <row r="777" spans="2:19" x14ac:dyDescent="0.35">
      <c r="B777" s="1">
        <v>3827</v>
      </c>
      <c r="C777" s="1" t="s">
        <v>24</v>
      </c>
      <c r="D777" s="1" t="s">
        <v>20</v>
      </c>
      <c r="E777" s="1">
        <v>0</v>
      </c>
      <c r="F777" s="28">
        <v>0</v>
      </c>
      <c r="G777" s="28">
        <v>0</v>
      </c>
      <c r="H777" s="1">
        <v>0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10</v>
      </c>
    </row>
    <row r="778" spans="2:19" x14ac:dyDescent="0.35">
      <c r="B778" s="1">
        <v>3828</v>
      </c>
      <c r="C778" s="1" t="s">
        <v>23</v>
      </c>
      <c r="D778" s="1" t="s">
        <v>18</v>
      </c>
      <c r="E778" s="1">
        <v>0</v>
      </c>
      <c r="F778" s="28">
        <v>0</v>
      </c>
      <c r="G778" s="28">
        <v>0</v>
      </c>
      <c r="H778" s="1">
        <v>2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N778" s="1">
        <v>6</v>
      </c>
      <c r="O778" s="1">
        <v>2</v>
      </c>
      <c r="P778" s="1">
        <v>0</v>
      </c>
      <c r="Q778" s="1">
        <v>0</v>
      </c>
      <c r="R778" s="1">
        <v>0</v>
      </c>
      <c r="S778" s="1">
        <v>0</v>
      </c>
    </row>
    <row r="779" spans="2:19" x14ac:dyDescent="0.35">
      <c r="B779" s="1">
        <v>3829</v>
      </c>
      <c r="C779" s="1" t="s">
        <v>19</v>
      </c>
      <c r="D779" s="1" t="s">
        <v>18</v>
      </c>
      <c r="E779" s="1">
        <v>0</v>
      </c>
      <c r="F779" s="28">
        <v>2</v>
      </c>
      <c r="G779" s="28">
        <v>0</v>
      </c>
      <c r="H779" s="1">
        <v>3</v>
      </c>
      <c r="I779" s="1">
        <v>0</v>
      </c>
      <c r="J779" s="1">
        <v>0</v>
      </c>
      <c r="K779" s="1">
        <v>0</v>
      </c>
      <c r="L779" s="1">
        <v>0</v>
      </c>
      <c r="M779" s="1">
        <v>0</v>
      </c>
      <c r="N779" s="1">
        <v>5</v>
      </c>
      <c r="O779" s="1">
        <v>0</v>
      </c>
      <c r="P779" s="1">
        <v>0</v>
      </c>
      <c r="Q779" s="1">
        <v>0</v>
      </c>
      <c r="R779" s="1">
        <v>0</v>
      </c>
      <c r="S779" s="1">
        <v>0</v>
      </c>
    </row>
    <row r="780" spans="2:19" x14ac:dyDescent="0.35">
      <c r="B780" s="1">
        <v>3830</v>
      </c>
      <c r="C780" s="1" t="s">
        <v>17</v>
      </c>
      <c r="D780" s="1" t="s">
        <v>20</v>
      </c>
      <c r="E780" s="1">
        <v>0</v>
      </c>
      <c r="F780" s="28">
        <v>1</v>
      </c>
      <c r="G780" s="28">
        <v>0</v>
      </c>
      <c r="H780" s="1">
        <v>2</v>
      </c>
      <c r="I780" s="1">
        <v>0</v>
      </c>
      <c r="J780" s="1">
        <v>0</v>
      </c>
      <c r="K780" s="1">
        <v>0</v>
      </c>
      <c r="L780" s="1">
        <v>0</v>
      </c>
      <c r="M780" s="1">
        <v>0</v>
      </c>
      <c r="N780" s="1">
        <v>7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</row>
    <row r="781" spans="2:19" x14ac:dyDescent="0.35">
      <c r="B781" s="1">
        <v>3831</v>
      </c>
      <c r="C781" s="1" t="s">
        <v>26</v>
      </c>
      <c r="D781" s="1" t="s">
        <v>18</v>
      </c>
      <c r="E781" s="1">
        <v>0</v>
      </c>
      <c r="F781" s="28">
        <v>0</v>
      </c>
      <c r="G781" s="28">
        <v>0</v>
      </c>
      <c r="H781" s="1">
        <v>1</v>
      </c>
      <c r="I781" s="1">
        <v>0</v>
      </c>
      <c r="J781" s="1">
        <v>0</v>
      </c>
      <c r="K781" s="1">
        <v>0</v>
      </c>
      <c r="L781" s="1">
        <v>0</v>
      </c>
      <c r="M781" s="1">
        <v>0</v>
      </c>
      <c r="N781" s="1">
        <v>8</v>
      </c>
      <c r="O781" s="1">
        <v>1</v>
      </c>
      <c r="P781" s="1">
        <v>0</v>
      </c>
      <c r="Q781" s="1">
        <v>0</v>
      </c>
      <c r="R781" s="1">
        <v>0</v>
      </c>
      <c r="S781" s="1">
        <v>0</v>
      </c>
    </row>
    <row r="782" spans="2:19" x14ac:dyDescent="0.35">
      <c r="B782" s="1">
        <v>3832</v>
      </c>
      <c r="C782" s="1" t="s">
        <v>19</v>
      </c>
      <c r="D782" s="1" t="s">
        <v>20</v>
      </c>
      <c r="E782" s="1">
        <v>0</v>
      </c>
      <c r="F782" s="28">
        <v>0</v>
      </c>
      <c r="G782" s="28">
        <v>0</v>
      </c>
      <c r="H782" s="1">
        <v>3</v>
      </c>
      <c r="I782" s="1">
        <v>0</v>
      </c>
      <c r="J782" s="1">
        <v>2</v>
      </c>
      <c r="K782" s="1">
        <v>0</v>
      </c>
      <c r="L782" s="1">
        <v>0</v>
      </c>
      <c r="M782" s="1">
        <v>0</v>
      </c>
      <c r="N782" s="1">
        <v>5</v>
      </c>
      <c r="O782" s="1">
        <v>0</v>
      </c>
      <c r="P782" s="1">
        <v>0</v>
      </c>
      <c r="Q782" s="1">
        <v>0</v>
      </c>
      <c r="R782" s="1">
        <v>0</v>
      </c>
      <c r="S782" s="1">
        <v>0</v>
      </c>
    </row>
    <row r="783" spans="2:19" x14ac:dyDescent="0.35">
      <c r="B783" s="1">
        <v>3833</v>
      </c>
      <c r="C783" s="1" t="s">
        <v>17</v>
      </c>
      <c r="D783" s="1" t="s">
        <v>18</v>
      </c>
      <c r="E783" s="1">
        <v>0</v>
      </c>
      <c r="F783" s="28">
        <v>0</v>
      </c>
      <c r="G783" s="28">
        <v>0</v>
      </c>
      <c r="H783" s="1">
        <v>0</v>
      </c>
      <c r="I783" s="1">
        <v>0</v>
      </c>
      <c r="J783" s="1">
        <v>0</v>
      </c>
      <c r="K783" s="1">
        <v>0</v>
      </c>
      <c r="L783" s="1">
        <v>0</v>
      </c>
      <c r="M783" s="1">
        <v>0</v>
      </c>
      <c r="N783" s="1">
        <v>1</v>
      </c>
      <c r="O783" s="1">
        <v>0</v>
      </c>
      <c r="P783" s="1">
        <v>0</v>
      </c>
      <c r="Q783" s="1">
        <v>1</v>
      </c>
      <c r="R783" s="1">
        <v>0</v>
      </c>
      <c r="S783" s="1">
        <v>8</v>
      </c>
    </row>
    <row r="784" spans="2:19" x14ac:dyDescent="0.35">
      <c r="B784" s="1">
        <v>3834</v>
      </c>
      <c r="C784" s="1" t="s">
        <v>23</v>
      </c>
      <c r="D784" s="1" t="s">
        <v>18</v>
      </c>
      <c r="E784" s="1">
        <v>0</v>
      </c>
      <c r="F784" s="28">
        <v>0</v>
      </c>
      <c r="G784" s="28">
        <v>0</v>
      </c>
      <c r="H784" s="1">
        <v>3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N784" s="1">
        <v>5</v>
      </c>
      <c r="O784" s="1">
        <v>0</v>
      </c>
      <c r="P784" s="1">
        <v>0</v>
      </c>
      <c r="Q784" s="1">
        <v>0</v>
      </c>
      <c r="R784" s="1">
        <v>0</v>
      </c>
      <c r="S784" s="1">
        <v>2</v>
      </c>
    </row>
    <row r="785" spans="2:19" x14ac:dyDescent="0.35">
      <c r="B785" s="1">
        <v>3835</v>
      </c>
      <c r="C785" s="1" t="s">
        <v>25</v>
      </c>
      <c r="D785" s="1" t="s">
        <v>18</v>
      </c>
      <c r="E785" s="1">
        <v>0</v>
      </c>
      <c r="F785" s="28">
        <v>1</v>
      </c>
      <c r="G785" s="28">
        <v>0</v>
      </c>
      <c r="H785" s="1">
        <v>0</v>
      </c>
      <c r="I785" s="1">
        <v>0</v>
      </c>
      <c r="J785" s="1">
        <v>0</v>
      </c>
      <c r="K785" s="1">
        <v>0</v>
      </c>
      <c r="L785" s="1">
        <v>0</v>
      </c>
      <c r="M785" s="1">
        <v>0</v>
      </c>
      <c r="N785" s="1">
        <v>1</v>
      </c>
      <c r="O785" s="1">
        <v>0</v>
      </c>
      <c r="P785" s="1">
        <v>0</v>
      </c>
      <c r="Q785" s="1">
        <v>0</v>
      </c>
      <c r="R785" s="1">
        <v>0</v>
      </c>
      <c r="S785" s="1">
        <v>8</v>
      </c>
    </row>
    <row r="786" spans="2:19" x14ac:dyDescent="0.35">
      <c r="B786" s="1">
        <v>3836</v>
      </c>
      <c r="C786" s="1" t="s">
        <v>17</v>
      </c>
      <c r="D786" s="1" t="s">
        <v>20</v>
      </c>
      <c r="E786" s="1">
        <v>1</v>
      </c>
      <c r="F786" s="28">
        <v>0</v>
      </c>
      <c r="G786" s="28">
        <v>0</v>
      </c>
      <c r="H786" s="1">
        <v>0</v>
      </c>
      <c r="I786" s="1">
        <v>5</v>
      </c>
      <c r="J786" s="1">
        <v>0</v>
      </c>
      <c r="K786" s="1">
        <v>0</v>
      </c>
      <c r="L786" s="1">
        <v>0</v>
      </c>
      <c r="M786" s="1">
        <v>0</v>
      </c>
      <c r="N786" s="1">
        <v>4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</row>
    <row r="787" spans="2:19" x14ac:dyDescent="0.35">
      <c r="B787" s="1">
        <v>3837</v>
      </c>
      <c r="C787" s="1" t="s">
        <v>19</v>
      </c>
      <c r="D787" s="1" t="s">
        <v>18</v>
      </c>
      <c r="E787" s="1">
        <v>0</v>
      </c>
      <c r="F787" s="28">
        <v>0</v>
      </c>
      <c r="G787" s="28">
        <v>7</v>
      </c>
      <c r="H787" s="1">
        <v>0</v>
      </c>
      <c r="I787" s="1">
        <v>0</v>
      </c>
      <c r="J787" s="1">
        <v>0</v>
      </c>
      <c r="K787" s="1">
        <v>2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1</v>
      </c>
    </row>
    <row r="788" spans="2:19" x14ac:dyDescent="0.35">
      <c r="B788" s="1">
        <v>3838</v>
      </c>
      <c r="C788" s="1" t="s">
        <v>23</v>
      </c>
      <c r="D788" s="1" t="s">
        <v>18</v>
      </c>
      <c r="E788" s="1">
        <v>0</v>
      </c>
      <c r="F788" s="28">
        <v>0</v>
      </c>
      <c r="G788" s="28">
        <v>0</v>
      </c>
      <c r="H788" s="1">
        <v>0</v>
      </c>
      <c r="I788" s="1">
        <v>5</v>
      </c>
      <c r="J788" s="1">
        <v>0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5</v>
      </c>
    </row>
    <row r="789" spans="2:19" x14ac:dyDescent="0.35">
      <c r="B789" s="1">
        <v>3839</v>
      </c>
      <c r="C789" s="1" t="s">
        <v>23</v>
      </c>
      <c r="D789" s="1" t="s">
        <v>20</v>
      </c>
      <c r="E789" s="1">
        <v>0</v>
      </c>
      <c r="F789" s="28">
        <v>0</v>
      </c>
      <c r="G789" s="28">
        <v>0</v>
      </c>
      <c r="H789" s="1">
        <v>0</v>
      </c>
      <c r="I789" s="1">
        <v>8</v>
      </c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2</v>
      </c>
    </row>
    <row r="790" spans="2:19" x14ac:dyDescent="0.35">
      <c r="B790" s="1">
        <v>3840</v>
      </c>
      <c r="C790" s="1" t="s">
        <v>24</v>
      </c>
      <c r="D790" s="1" t="s">
        <v>20</v>
      </c>
      <c r="E790" s="1">
        <v>0</v>
      </c>
      <c r="F790" s="28">
        <v>0</v>
      </c>
      <c r="G790" s="28">
        <v>0</v>
      </c>
      <c r="H790" s="1">
        <v>0</v>
      </c>
      <c r="I790" s="1">
        <v>7</v>
      </c>
      <c r="J790" s="1">
        <v>0</v>
      </c>
      <c r="K790" s="1">
        <v>0</v>
      </c>
      <c r="L790" s="1">
        <v>0</v>
      </c>
      <c r="M790" s="1">
        <v>0</v>
      </c>
      <c r="N790" s="1">
        <v>1</v>
      </c>
      <c r="O790" s="1">
        <v>0</v>
      </c>
      <c r="P790" s="1">
        <v>0</v>
      </c>
      <c r="Q790" s="1">
        <v>0</v>
      </c>
      <c r="R790" s="1">
        <v>0</v>
      </c>
      <c r="S790" s="1">
        <v>2</v>
      </c>
    </row>
    <row r="791" spans="2:19" x14ac:dyDescent="0.35">
      <c r="B791" s="1">
        <v>3841</v>
      </c>
      <c r="C791" s="1" t="s">
        <v>22</v>
      </c>
      <c r="D791" s="1" t="s">
        <v>18</v>
      </c>
      <c r="E791" s="1">
        <v>0</v>
      </c>
      <c r="F791" s="28">
        <v>0</v>
      </c>
      <c r="G791" s="28">
        <v>0</v>
      </c>
      <c r="H791" s="1">
        <v>0</v>
      </c>
      <c r="I791" s="1">
        <v>6</v>
      </c>
      <c r="J791" s="1">
        <v>0</v>
      </c>
      <c r="K791" s="1">
        <v>0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4</v>
      </c>
    </row>
    <row r="792" spans="2:19" x14ac:dyDescent="0.35">
      <c r="B792" s="1">
        <v>3842</v>
      </c>
      <c r="C792" s="1" t="s">
        <v>17</v>
      </c>
      <c r="D792" s="1" t="s">
        <v>20</v>
      </c>
      <c r="E792" s="1">
        <v>0</v>
      </c>
      <c r="F792" s="28">
        <v>0</v>
      </c>
      <c r="G792" s="28">
        <v>0</v>
      </c>
      <c r="H792" s="1">
        <v>0</v>
      </c>
      <c r="I792" s="1">
        <v>5</v>
      </c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5</v>
      </c>
    </row>
    <row r="793" spans="2:19" x14ac:dyDescent="0.35">
      <c r="B793" s="1">
        <v>3843</v>
      </c>
      <c r="C793" s="1" t="s">
        <v>17</v>
      </c>
      <c r="D793" s="1" t="s">
        <v>20</v>
      </c>
      <c r="E793" s="1">
        <v>1</v>
      </c>
      <c r="F793" s="28">
        <v>0</v>
      </c>
      <c r="G793" s="28">
        <v>7</v>
      </c>
      <c r="H793" s="1">
        <v>0</v>
      </c>
      <c r="I793" s="1">
        <v>0</v>
      </c>
      <c r="J793" s="1">
        <v>0</v>
      </c>
      <c r="K793" s="1">
        <v>2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0</v>
      </c>
    </row>
    <row r="794" spans="2:19" x14ac:dyDescent="0.35">
      <c r="B794" s="1">
        <v>3844</v>
      </c>
      <c r="C794" s="1" t="s">
        <v>19</v>
      </c>
      <c r="D794" s="1" t="s">
        <v>18</v>
      </c>
      <c r="E794" s="1">
        <v>0</v>
      </c>
      <c r="F794" s="28">
        <v>1</v>
      </c>
      <c r="G794" s="28">
        <v>0</v>
      </c>
      <c r="H794" s="1">
        <v>0</v>
      </c>
      <c r="I794" s="1">
        <v>8</v>
      </c>
      <c r="J794" s="1">
        <v>0</v>
      </c>
      <c r="K794" s="1">
        <v>0</v>
      </c>
      <c r="L794" s="1">
        <v>0</v>
      </c>
      <c r="M794" s="1">
        <v>0</v>
      </c>
      <c r="N794" s="1">
        <v>1</v>
      </c>
      <c r="O794" s="1">
        <v>0</v>
      </c>
      <c r="P794" s="1">
        <v>0</v>
      </c>
      <c r="Q794" s="1">
        <v>0</v>
      </c>
      <c r="R794" s="1">
        <v>0</v>
      </c>
      <c r="S794" s="1">
        <v>0</v>
      </c>
    </row>
    <row r="795" spans="2:19" x14ac:dyDescent="0.35">
      <c r="B795" s="1">
        <v>3845</v>
      </c>
      <c r="C795" s="1" t="s">
        <v>17</v>
      </c>
      <c r="D795" s="1" t="s">
        <v>20</v>
      </c>
      <c r="E795" s="1">
        <v>0</v>
      </c>
      <c r="F795" s="28">
        <v>2</v>
      </c>
      <c r="G795" s="28">
        <v>0</v>
      </c>
      <c r="H795" s="1">
        <v>0</v>
      </c>
      <c r="I795" s="1">
        <v>5</v>
      </c>
      <c r="J795" s="1">
        <v>0</v>
      </c>
      <c r="K795" s="1">
        <v>0</v>
      </c>
      <c r="L795" s="1">
        <v>0</v>
      </c>
      <c r="M795" s="1">
        <v>0</v>
      </c>
      <c r="N795" s="1">
        <v>3</v>
      </c>
      <c r="O795" s="1">
        <v>0</v>
      </c>
      <c r="P795" s="1">
        <v>0</v>
      </c>
      <c r="Q795" s="1">
        <v>0</v>
      </c>
      <c r="R795" s="1">
        <v>0</v>
      </c>
      <c r="S795" s="1">
        <v>0</v>
      </c>
    </row>
    <row r="796" spans="2:19" x14ac:dyDescent="0.35">
      <c r="B796" s="1">
        <v>3846</v>
      </c>
      <c r="C796" s="1" t="s">
        <v>25</v>
      </c>
      <c r="D796" s="1" t="s">
        <v>18</v>
      </c>
      <c r="E796" s="1">
        <v>0</v>
      </c>
      <c r="F796" s="28">
        <v>0</v>
      </c>
      <c r="G796" s="28">
        <v>0</v>
      </c>
      <c r="H796" s="1">
        <v>0</v>
      </c>
      <c r="I796" s="1">
        <v>6</v>
      </c>
      <c r="J796" s="1">
        <v>2</v>
      </c>
      <c r="K796" s="1">
        <v>0</v>
      </c>
      <c r="L796" s="1">
        <v>0</v>
      </c>
      <c r="M796" s="1">
        <v>0</v>
      </c>
      <c r="N796" s="1">
        <v>2</v>
      </c>
      <c r="O796" s="1">
        <v>0</v>
      </c>
      <c r="P796" s="1">
        <v>0</v>
      </c>
      <c r="Q796" s="1">
        <v>0</v>
      </c>
      <c r="R796" s="1">
        <v>0</v>
      </c>
      <c r="S796" s="1">
        <v>0</v>
      </c>
    </row>
    <row r="797" spans="2:19" x14ac:dyDescent="0.35">
      <c r="B797" s="1">
        <v>3847</v>
      </c>
      <c r="C797" s="1" t="s">
        <v>19</v>
      </c>
      <c r="D797" s="1" t="s">
        <v>18</v>
      </c>
      <c r="E797" s="1">
        <v>0</v>
      </c>
      <c r="F797" s="28">
        <v>0</v>
      </c>
      <c r="G797" s="28">
        <v>0</v>
      </c>
      <c r="H797" s="1">
        <v>0</v>
      </c>
      <c r="I797" s="1">
        <v>5</v>
      </c>
      <c r="J797" s="1">
        <v>0</v>
      </c>
      <c r="K797" s="1">
        <v>0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</v>
      </c>
      <c r="R797" s="1">
        <v>0</v>
      </c>
      <c r="S797" s="1">
        <v>5</v>
      </c>
    </row>
    <row r="798" spans="2:19" x14ac:dyDescent="0.35">
      <c r="B798" s="1">
        <v>3848</v>
      </c>
      <c r="C798" s="1" t="s">
        <v>19</v>
      </c>
      <c r="D798" s="1" t="s">
        <v>20</v>
      </c>
      <c r="E798" s="1">
        <v>0</v>
      </c>
      <c r="F798" s="28">
        <v>0</v>
      </c>
      <c r="G798" s="28">
        <v>2</v>
      </c>
      <c r="H798" s="1">
        <v>0</v>
      </c>
      <c r="I798" s="1">
        <v>7</v>
      </c>
      <c r="J798" s="1">
        <v>0</v>
      </c>
      <c r="K798" s="1">
        <v>0</v>
      </c>
      <c r="L798" s="1">
        <v>0</v>
      </c>
      <c r="M798" s="1">
        <v>1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S798" s="1">
        <v>0</v>
      </c>
    </row>
    <row r="799" spans="2:19" x14ac:dyDescent="0.35">
      <c r="B799" s="1">
        <v>3849</v>
      </c>
      <c r="C799" s="1" t="s">
        <v>17</v>
      </c>
      <c r="D799" s="1" t="s">
        <v>18</v>
      </c>
      <c r="E799" s="1">
        <v>0</v>
      </c>
      <c r="F799" s="28">
        <v>0</v>
      </c>
      <c r="G799" s="28">
        <v>8</v>
      </c>
      <c r="H799" s="1">
        <v>0</v>
      </c>
      <c r="I799" s="1">
        <v>0</v>
      </c>
      <c r="J799" s="1">
        <v>0</v>
      </c>
      <c r="K799" s="1">
        <v>1</v>
      </c>
      <c r="L799" s="1">
        <v>0</v>
      </c>
      <c r="M799" s="1">
        <v>0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</row>
    <row r="800" spans="2:19" x14ac:dyDescent="0.35">
      <c r="B800" s="1">
        <v>3850</v>
      </c>
      <c r="C800" s="1" t="s">
        <v>23</v>
      </c>
      <c r="D800" s="1" t="s">
        <v>20</v>
      </c>
      <c r="E800" s="1">
        <v>0</v>
      </c>
      <c r="F800" s="28">
        <v>0</v>
      </c>
      <c r="G800" s="28">
        <v>0</v>
      </c>
      <c r="H800" s="1">
        <v>0</v>
      </c>
      <c r="I800" s="1">
        <v>5</v>
      </c>
      <c r="J800" s="1">
        <v>2</v>
      </c>
      <c r="K800" s="1">
        <v>0</v>
      </c>
      <c r="L800" s="1">
        <v>0</v>
      </c>
      <c r="M800" s="1">
        <v>0</v>
      </c>
      <c r="N800" s="1">
        <v>3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</row>
    <row r="801" spans="2:19" x14ac:dyDescent="0.35"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</row>
    <row r="802" spans="2:19" x14ac:dyDescent="0.35"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</row>
    <row r="803" spans="2:19" x14ac:dyDescent="0.35"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</row>
    <row r="804" spans="2:19" x14ac:dyDescent="0.35"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</row>
    <row r="805" spans="2:19" x14ac:dyDescent="0.35"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</row>
    <row r="806" spans="2:19" x14ac:dyDescent="0.35"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</row>
    <row r="807" spans="2:19" x14ac:dyDescent="0.35"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</row>
    <row r="808" spans="2:19" x14ac:dyDescent="0.35"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</row>
    <row r="809" spans="2:19" x14ac:dyDescent="0.35"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</row>
    <row r="810" spans="2:19" x14ac:dyDescent="0.35"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</row>
    <row r="811" spans="2:19" x14ac:dyDescent="0.35"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</row>
    <row r="812" spans="2:19" x14ac:dyDescent="0.35"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</row>
    <row r="813" spans="2:19" x14ac:dyDescent="0.35"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</row>
    <row r="814" spans="2:19" x14ac:dyDescent="0.35"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</row>
    <row r="815" spans="2:19" x14ac:dyDescent="0.35"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</row>
    <row r="816" spans="2:19" x14ac:dyDescent="0.35"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</row>
    <row r="817" spans="2:19" x14ac:dyDescent="0.35"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</row>
    <row r="818" spans="2:19" x14ac:dyDescent="0.35"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</row>
    <row r="819" spans="2:19" x14ac:dyDescent="0.35"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</row>
    <row r="820" spans="2:19" x14ac:dyDescent="0.35"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</row>
    <row r="821" spans="2:19" x14ac:dyDescent="0.35"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</row>
    <row r="822" spans="2:19" x14ac:dyDescent="0.35"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</row>
    <row r="823" spans="2:19" x14ac:dyDescent="0.35"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</row>
    <row r="824" spans="2:19" x14ac:dyDescent="0.35"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</row>
    <row r="825" spans="2:19" x14ac:dyDescent="0.35"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</row>
    <row r="826" spans="2:19" x14ac:dyDescent="0.35"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</row>
    <row r="827" spans="2:19" x14ac:dyDescent="0.35"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</row>
    <row r="828" spans="2:19" x14ac:dyDescent="0.35"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</row>
    <row r="829" spans="2:19" x14ac:dyDescent="0.35"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</row>
    <row r="830" spans="2:19" x14ac:dyDescent="0.35"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</row>
    <row r="831" spans="2:19" x14ac:dyDescent="0.35"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</row>
    <row r="832" spans="2:19" x14ac:dyDescent="0.35"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</row>
    <row r="833" spans="2:19" x14ac:dyDescent="0.35"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</row>
    <row r="834" spans="2:19" x14ac:dyDescent="0.35"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</row>
    <row r="835" spans="2:19" x14ac:dyDescent="0.35"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</row>
    <row r="836" spans="2:19" x14ac:dyDescent="0.35"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</row>
    <row r="837" spans="2:19" x14ac:dyDescent="0.35"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</row>
    <row r="838" spans="2:19" x14ac:dyDescent="0.35"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</row>
    <row r="839" spans="2:19" x14ac:dyDescent="0.35"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</row>
    <row r="840" spans="2:19" x14ac:dyDescent="0.35"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</row>
    <row r="841" spans="2:19" x14ac:dyDescent="0.35"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</row>
    <row r="842" spans="2:19" x14ac:dyDescent="0.35"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</row>
    <row r="843" spans="2:19" x14ac:dyDescent="0.35"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</row>
    <row r="844" spans="2:19" x14ac:dyDescent="0.35"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</row>
    <row r="845" spans="2:19" x14ac:dyDescent="0.35"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</row>
    <row r="846" spans="2:19" x14ac:dyDescent="0.35"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</row>
    <row r="847" spans="2:19" x14ac:dyDescent="0.35"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</row>
    <row r="848" spans="2:19" x14ac:dyDescent="0.35"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</row>
    <row r="849" spans="2:19" x14ac:dyDescent="0.35"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</row>
    <row r="850" spans="2:19" x14ac:dyDescent="0.35"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</row>
    <row r="851" spans="2:19" x14ac:dyDescent="0.35"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</row>
    <row r="852" spans="2:19" x14ac:dyDescent="0.35"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</row>
  </sheetData>
  <mergeCells count="1">
    <mergeCell ref="B7:S7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749"/>
  <sheetViews>
    <sheetView showGridLines="0" topLeftCell="A30" workbookViewId="0">
      <selection activeCell="F32" sqref="F32"/>
    </sheetView>
  </sheetViews>
  <sheetFormatPr defaultRowHeight="14.5" x14ac:dyDescent="0.35"/>
  <cols>
    <col min="2" max="2" width="8.7265625" customWidth="1"/>
    <col min="3" max="3" width="20.36328125" customWidth="1"/>
    <col min="4" max="4" width="9.90625" customWidth="1"/>
    <col min="5" max="5" width="26.453125" customWidth="1"/>
    <col min="6" max="6" width="31.08984375" customWidth="1"/>
    <col min="7" max="7" width="9.81640625" customWidth="1"/>
    <col min="8" max="8" width="9.26953125" customWidth="1"/>
    <col min="9" max="9" width="15.7265625" customWidth="1"/>
    <col min="10" max="10" width="10.6328125" customWidth="1"/>
    <col min="11" max="11" width="8.7265625" customWidth="1"/>
    <col min="12" max="19" width="8.7265625" style="4"/>
  </cols>
  <sheetData>
    <row r="1" spans="2:19" s="36" customFormat="1" x14ac:dyDescent="0.35"/>
    <row r="2" spans="2:19" s="36" customFormat="1" x14ac:dyDescent="0.35"/>
    <row r="3" spans="2:19" s="36" customFormat="1" x14ac:dyDescent="0.35"/>
    <row r="4" spans="2:19" s="36" customFormat="1" x14ac:dyDescent="0.35"/>
    <row r="6" spans="2:19" x14ac:dyDescent="0.35">
      <c r="B6" s="41" t="s">
        <v>16</v>
      </c>
      <c r="C6" s="41"/>
      <c r="D6" s="41"/>
      <c r="E6" s="41"/>
      <c r="F6" s="41"/>
      <c r="G6" s="41"/>
      <c r="H6" s="41"/>
      <c r="I6" s="41"/>
      <c r="J6" s="41"/>
      <c r="K6" s="41"/>
      <c r="L6" s="3"/>
      <c r="M6" s="3"/>
      <c r="N6" s="3"/>
      <c r="O6" s="3"/>
      <c r="P6" s="3"/>
      <c r="Q6" s="3"/>
      <c r="R6" s="3"/>
      <c r="S6" s="3"/>
    </row>
    <row r="7" spans="2:19" s="39" customFormat="1" ht="29" x14ac:dyDescent="0.35">
      <c r="B7" s="14" t="s">
        <v>29</v>
      </c>
      <c r="C7" s="14" t="s">
        <v>117</v>
      </c>
      <c r="D7" s="14" t="s">
        <v>30</v>
      </c>
      <c r="E7" s="14" t="s">
        <v>31</v>
      </c>
      <c r="F7" s="14" t="s">
        <v>32</v>
      </c>
      <c r="G7" s="14" t="s">
        <v>240</v>
      </c>
      <c r="H7" s="14" t="s">
        <v>241</v>
      </c>
      <c r="I7" s="14" t="s">
        <v>242</v>
      </c>
      <c r="J7" s="14" t="s">
        <v>243</v>
      </c>
      <c r="K7" s="14" t="s">
        <v>244</v>
      </c>
      <c r="L7" s="38"/>
      <c r="M7" s="38"/>
      <c r="N7" s="38"/>
      <c r="O7" s="38"/>
      <c r="P7" s="38"/>
      <c r="Q7" s="38"/>
      <c r="R7" s="38"/>
      <c r="S7" s="38"/>
    </row>
    <row r="8" spans="2:19" x14ac:dyDescent="0.35">
      <c r="B8" s="1" t="s">
        <v>173</v>
      </c>
      <c r="C8" s="37">
        <v>0</v>
      </c>
      <c r="D8" s="1" t="s">
        <v>172</v>
      </c>
      <c r="E8" s="1" t="s">
        <v>42</v>
      </c>
      <c r="F8" s="1" t="s">
        <v>184</v>
      </c>
      <c r="G8" s="1" t="s">
        <v>259</v>
      </c>
      <c r="H8" s="1" t="s">
        <v>264</v>
      </c>
      <c r="I8" s="1"/>
      <c r="J8" s="1"/>
      <c r="K8" s="1" t="s">
        <v>279</v>
      </c>
    </row>
    <row r="9" spans="2:19" x14ac:dyDescent="0.35">
      <c r="B9" s="1" t="s">
        <v>150</v>
      </c>
      <c r="C9" s="37">
        <v>0</v>
      </c>
      <c r="D9" s="1" t="s">
        <v>149</v>
      </c>
      <c r="E9" s="1" t="s">
        <v>36</v>
      </c>
      <c r="F9" s="1" t="s">
        <v>160</v>
      </c>
      <c r="G9" s="1" t="s">
        <v>261</v>
      </c>
      <c r="H9" s="1" t="s">
        <v>253</v>
      </c>
      <c r="I9" s="1" t="s">
        <v>190</v>
      </c>
      <c r="J9" s="1" t="s">
        <v>280</v>
      </c>
      <c r="K9" s="1" t="s">
        <v>279</v>
      </c>
    </row>
    <row r="10" spans="2:19" x14ac:dyDescent="0.35">
      <c r="B10" s="1" t="s">
        <v>166</v>
      </c>
      <c r="C10" s="37">
        <v>0</v>
      </c>
      <c r="D10" s="1"/>
      <c r="E10" s="1" t="s">
        <v>42</v>
      </c>
      <c r="F10" s="1" t="s">
        <v>42</v>
      </c>
      <c r="G10" s="1"/>
      <c r="H10" s="1"/>
      <c r="I10" s="1"/>
      <c r="J10" s="1" t="s">
        <v>191</v>
      </c>
      <c r="K10" s="1"/>
    </row>
    <row r="11" spans="2:19" x14ac:dyDescent="0.35">
      <c r="B11" s="1" t="s">
        <v>138</v>
      </c>
      <c r="C11" s="37">
        <v>0</v>
      </c>
      <c r="D11" s="1" t="s">
        <v>139</v>
      </c>
      <c r="E11" s="1" t="s">
        <v>37</v>
      </c>
      <c r="F11" s="1" t="s">
        <v>140</v>
      </c>
      <c r="G11" s="1" t="s">
        <v>249</v>
      </c>
      <c r="H11" s="1" t="s">
        <v>245</v>
      </c>
      <c r="I11" s="1" t="s">
        <v>247</v>
      </c>
      <c r="J11" s="1" t="s">
        <v>250</v>
      </c>
      <c r="K11" s="1"/>
    </row>
    <row r="12" spans="2:19" x14ac:dyDescent="0.35">
      <c r="B12" s="1" t="s">
        <v>145</v>
      </c>
      <c r="C12" s="37">
        <v>0</v>
      </c>
      <c r="D12" s="1"/>
      <c r="E12" s="1" t="s">
        <v>34</v>
      </c>
      <c r="F12" s="1" t="s">
        <v>146</v>
      </c>
      <c r="G12" s="1" t="s">
        <v>269</v>
      </c>
      <c r="H12" s="1" t="s">
        <v>253</v>
      </c>
      <c r="I12" s="1" t="s">
        <v>272</v>
      </c>
      <c r="J12" s="1" t="s">
        <v>273</v>
      </c>
      <c r="K12" s="1" t="s">
        <v>266</v>
      </c>
    </row>
    <row r="13" spans="2:19" x14ac:dyDescent="0.35">
      <c r="B13" s="1" t="s">
        <v>122</v>
      </c>
      <c r="C13" s="37">
        <v>0</v>
      </c>
      <c r="D13" s="1"/>
      <c r="E13" s="1" t="s">
        <v>42</v>
      </c>
      <c r="F13" s="1" t="s">
        <v>43</v>
      </c>
      <c r="G13" s="1" t="s">
        <v>249</v>
      </c>
      <c r="H13" s="1" t="s">
        <v>253</v>
      </c>
      <c r="I13" s="1" t="s">
        <v>190</v>
      </c>
      <c r="J13" s="1" t="s">
        <v>255</v>
      </c>
      <c r="K13" s="1"/>
    </row>
    <row r="14" spans="2:19" x14ac:dyDescent="0.35">
      <c r="B14" s="1" t="s">
        <v>125</v>
      </c>
      <c r="C14" s="37">
        <v>0</v>
      </c>
      <c r="D14" s="1"/>
      <c r="E14" s="1" t="s">
        <v>42</v>
      </c>
      <c r="F14" s="1" t="s">
        <v>42</v>
      </c>
      <c r="G14" s="1" t="s">
        <v>261</v>
      </c>
      <c r="H14" s="1" t="s">
        <v>253</v>
      </c>
      <c r="I14" s="1" t="s">
        <v>190</v>
      </c>
      <c r="J14" s="1" t="s">
        <v>262</v>
      </c>
      <c r="K14" s="1"/>
    </row>
    <row r="15" spans="2:19" x14ac:dyDescent="0.35">
      <c r="B15" s="1" t="s">
        <v>143</v>
      </c>
      <c r="C15" s="37">
        <v>0</v>
      </c>
      <c r="D15" s="1"/>
      <c r="E15" s="1" t="s">
        <v>34</v>
      </c>
      <c r="F15" s="1" t="s">
        <v>38</v>
      </c>
      <c r="G15" s="1" t="s">
        <v>249</v>
      </c>
      <c r="H15" s="1"/>
      <c r="I15" s="1" t="s">
        <v>272</v>
      </c>
      <c r="J15" s="1"/>
      <c r="K15" s="1"/>
    </row>
    <row r="16" spans="2:19" x14ac:dyDescent="0.35">
      <c r="B16" s="1" t="s">
        <v>161</v>
      </c>
      <c r="C16" s="37">
        <v>1</v>
      </c>
      <c r="D16" s="1"/>
      <c r="E16" s="1" t="s">
        <v>41</v>
      </c>
      <c r="F16" s="1" t="s">
        <v>162</v>
      </c>
      <c r="G16" s="1" t="s">
        <v>259</v>
      </c>
      <c r="H16" s="1" t="s">
        <v>264</v>
      </c>
      <c r="I16" s="1" t="s">
        <v>190</v>
      </c>
      <c r="J16" s="1" t="s">
        <v>191</v>
      </c>
      <c r="K16" s="1"/>
    </row>
    <row r="17" spans="2:11" x14ac:dyDescent="0.35">
      <c r="B17" s="1" t="s">
        <v>159</v>
      </c>
      <c r="C17" s="37">
        <v>0</v>
      </c>
      <c r="D17" s="1"/>
      <c r="E17" s="1" t="s">
        <v>39</v>
      </c>
      <c r="F17" s="1" t="s">
        <v>40</v>
      </c>
      <c r="G17" s="1" t="s">
        <v>249</v>
      </c>
      <c r="H17" s="1" t="s">
        <v>245</v>
      </c>
      <c r="I17" s="1" t="s">
        <v>247</v>
      </c>
      <c r="J17" s="1" t="s">
        <v>250</v>
      </c>
      <c r="K17" s="1" t="s">
        <v>278</v>
      </c>
    </row>
    <row r="18" spans="2:11" x14ac:dyDescent="0.35">
      <c r="B18" s="1" t="s">
        <v>129</v>
      </c>
      <c r="C18" s="37">
        <v>0</v>
      </c>
      <c r="D18" s="1" t="s">
        <v>128</v>
      </c>
      <c r="E18" s="1" t="s">
        <v>33</v>
      </c>
      <c r="F18" s="1" t="s">
        <v>131</v>
      </c>
      <c r="G18" s="1"/>
      <c r="H18" s="1" t="s">
        <v>267</v>
      </c>
      <c r="I18" s="1" t="s">
        <v>257</v>
      </c>
      <c r="J18" s="1" t="s">
        <v>268</v>
      </c>
      <c r="K18" s="1"/>
    </row>
    <row r="19" spans="2:11" x14ac:dyDescent="0.35">
      <c r="B19" s="1" t="s">
        <v>172</v>
      </c>
      <c r="C19" s="37">
        <v>0</v>
      </c>
      <c r="D19" s="1" t="s">
        <v>173</v>
      </c>
      <c r="E19" s="1" t="s">
        <v>42</v>
      </c>
      <c r="F19" s="1" t="s">
        <v>174</v>
      </c>
      <c r="G19" s="1" t="s">
        <v>261</v>
      </c>
      <c r="H19" s="1" t="s">
        <v>192</v>
      </c>
      <c r="I19" s="1"/>
      <c r="J19" s="1" t="s">
        <v>275</v>
      </c>
      <c r="K19" s="1"/>
    </row>
    <row r="20" spans="2:11" x14ac:dyDescent="0.35">
      <c r="B20" s="1" t="s">
        <v>154</v>
      </c>
      <c r="C20" s="37">
        <v>0</v>
      </c>
      <c r="D20" s="1"/>
      <c r="E20" s="1" t="s">
        <v>36</v>
      </c>
      <c r="F20" s="1" t="s">
        <v>155</v>
      </c>
      <c r="G20" s="1"/>
      <c r="H20" s="1" t="s">
        <v>253</v>
      </c>
      <c r="I20" s="1"/>
      <c r="J20" s="1" t="s">
        <v>273</v>
      </c>
      <c r="K20" s="1"/>
    </row>
    <row r="21" spans="2:11" x14ac:dyDescent="0.35">
      <c r="B21" s="1" t="s">
        <v>144</v>
      </c>
      <c r="C21" s="37">
        <v>0</v>
      </c>
      <c r="D21" s="1"/>
      <c r="E21" s="1" t="s">
        <v>37</v>
      </c>
      <c r="F21" s="1" t="s">
        <v>37</v>
      </c>
      <c r="G21" s="1"/>
      <c r="H21" s="1"/>
      <c r="I21" s="1"/>
      <c r="J21" s="1" t="s">
        <v>194</v>
      </c>
      <c r="K21" s="1"/>
    </row>
    <row r="22" spans="2:11" x14ac:dyDescent="0.35">
      <c r="B22" s="1" t="s">
        <v>126</v>
      </c>
      <c r="C22" s="37">
        <v>1</v>
      </c>
      <c r="D22" s="1"/>
      <c r="E22" s="1" t="s">
        <v>33</v>
      </c>
      <c r="F22" s="1" t="s">
        <v>127</v>
      </c>
      <c r="G22" s="1"/>
      <c r="H22" s="1" t="s">
        <v>263</v>
      </c>
      <c r="I22" s="1" t="s">
        <v>246</v>
      </c>
      <c r="J22" s="1"/>
      <c r="K22" s="1" t="s">
        <v>251</v>
      </c>
    </row>
    <row r="23" spans="2:11" x14ac:dyDescent="0.35">
      <c r="B23" s="1" t="s">
        <v>128</v>
      </c>
      <c r="C23" s="37">
        <v>0</v>
      </c>
      <c r="D23" s="1" t="s">
        <v>129</v>
      </c>
      <c r="E23" s="1" t="s">
        <v>33</v>
      </c>
      <c r="F23" s="1" t="s">
        <v>130</v>
      </c>
      <c r="G23" s="1" t="s">
        <v>252</v>
      </c>
      <c r="H23" s="1" t="s">
        <v>264</v>
      </c>
      <c r="I23" s="1" t="s">
        <v>190</v>
      </c>
      <c r="J23" s="1" t="s">
        <v>265</v>
      </c>
      <c r="K23" s="1" t="s">
        <v>266</v>
      </c>
    </row>
    <row r="24" spans="2:11" x14ac:dyDescent="0.35">
      <c r="B24" s="1" t="s">
        <v>188</v>
      </c>
      <c r="C24" s="37">
        <v>0</v>
      </c>
      <c r="D24" s="1"/>
      <c r="E24" s="1" t="s">
        <v>42</v>
      </c>
      <c r="F24" s="1" t="s">
        <v>189</v>
      </c>
      <c r="G24" s="1"/>
      <c r="H24" s="1" t="s">
        <v>193</v>
      </c>
      <c r="I24" s="1"/>
      <c r="J24" s="1"/>
      <c r="K24" s="1"/>
    </row>
    <row r="25" spans="2:11" x14ac:dyDescent="0.35">
      <c r="B25" s="1" t="s">
        <v>178</v>
      </c>
      <c r="C25" s="37">
        <v>0</v>
      </c>
      <c r="D25" s="1"/>
      <c r="E25" s="1" t="s">
        <v>46</v>
      </c>
      <c r="F25" s="1" t="s">
        <v>168</v>
      </c>
      <c r="G25" s="1"/>
      <c r="H25" s="1"/>
      <c r="I25" s="1" t="s">
        <v>247</v>
      </c>
      <c r="J25" s="1" t="s">
        <v>289</v>
      </c>
      <c r="K25" s="1" t="s">
        <v>266</v>
      </c>
    </row>
    <row r="26" spans="2:11" x14ac:dyDescent="0.35">
      <c r="B26" s="1" t="s">
        <v>139</v>
      </c>
      <c r="C26" s="37">
        <v>0</v>
      </c>
      <c r="D26" s="1" t="s">
        <v>138</v>
      </c>
      <c r="E26" s="1" t="s">
        <v>37</v>
      </c>
      <c r="F26" s="1" t="s">
        <v>151</v>
      </c>
      <c r="G26" s="1" t="s">
        <v>249</v>
      </c>
      <c r="H26" s="1" t="s">
        <v>245</v>
      </c>
      <c r="I26" s="1" t="s">
        <v>247</v>
      </c>
      <c r="J26" s="1" t="s">
        <v>250</v>
      </c>
      <c r="K26" s="1"/>
    </row>
    <row r="27" spans="2:11" x14ac:dyDescent="0.35">
      <c r="B27" s="1" t="s">
        <v>152</v>
      </c>
      <c r="C27" s="37">
        <v>0</v>
      </c>
      <c r="D27" s="1" t="s">
        <v>153</v>
      </c>
      <c r="E27" s="1" t="s">
        <v>39</v>
      </c>
      <c r="F27" s="1" t="s">
        <v>40</v>
      </c>
      <c r="G27" s="1" t="s">
        <v>269</v>
      </c>
      <c r="H27" s="1"/>
      <c r="I27" s="1" t="s">
        <v>190</v>
      </c>
      <c r="J27" s="1" t="s">
        <v>275</v>
      </c>
      <c r="K27" s="1"/>
    </row>
    <row r="28" spans="2:11" x14ac:dyDescent="0.35">
      <c r="B28" s="1" t="s">
        <v>169</v>
      </c>
      <c r="C28" s="37">
        <v>0</v>
      </c>
      <c r="D28" s="1"/>
      <c r="E28" s="1" t="s">
        <v>39</v>
      </c>
      <c r="F28" s="1" t="s">
        <v>40</v>
      </c>
      <c r="G28" s="1"/>
      <c r="H28" s="1" t="s">
        <v>282</v>
      </c>
      <c r="I28" s="1"/>
      <c r="J28" s="1" t="s">
        <v>283</v>
      </c>
      <c r="K28" s="1"/>
    </row>
    <row r="29" spans="2:11" x14ac:dyDescent="0.35">
      <c r="B29" s="1" t="s">
        <v>132</v>
      </c>
      <c r="C29" s="37">
        <v>1</v>
      </c>
      <c r="D29" s="1"/>
      <c r="E29" s="1" t="s">
        <v>37</v>
      </c>
      <c r="F29" s="1" t="s">
        <v>133</v>
      </c>
      <c r="G29" s="1" t="s">
        <v>269</v>
      </c>
      <c r="H29" s="1" t="s">
        <v>245</v>
      </c>
      <c r="I29" s="1" t="s">
        <v>248</v>
      </c>
      <c r="J29" s="1" t="s">
        <v>250</v>
      </c>
      <c r="K29" s="1"/>
    </row>
    <row r="30" spans="2:11" x14ac:dyDescent="0.35">
      <c r="B30" s="1" t="s">
        <v>164</v>
      </c>
      <c r="C30" s="37">
        <v>0</v>
      </c>
      <c r="D30" s="1"/>
      <c r="E30" s="1" t="s">
        <v>41</v>
      </c>
      <c r="F30" s="1" t="s">
        <v>165</v>
      </c>
      <c r="G30" s="1" t="s">
        <v>261</v>
      </c>
      <c r="H30" s="1" t="s">
        <v>282</v>
      </c>
      <c r="I30" s="1"/>
      <c r="J30" s="1" t="s">
        <v>283</v>
      </c>
      <c r="K30" s="1" t="s">
        <v>260</v>
      </c>
    </row>
    <row r="31" spans="2:11" x14ac:dyDescent="0.35">
      <c r="B31" s="1" t="s">
        <v>158</v>
      </c>
      <c r="C31" s="37">
        <v>0</v>
      </c>
      <c r="D31" s="1"/>
      <c r="E31" s="1" t="s">
        <v>34</v>
      </c>
      <c r="F31" s="1" t="s">
        <v>146</v>
      </c>
      <c r="G31" s="1"/>
      <c r="H31" s="1" t="s">
        <v>276</v>
      </c>
      <c r="I31" s="1"/>
      <c r="J31" s="1" t="s">
        <v>277</v>
      </c>
      <c r="K31" s="1"/>
    </row>
    <row r="32" spans="2:11" x14ac:dyDescent="0.35">
      <c r="B32" s="1" t="s">
        <v>163</v>
      </c>
      <c r="C32" s="37">
        <v>1</v>
      </c>
      <c r="D32" s="1"/>
      <c r="E32" s="1" t="s">
        <v>41</v>
      </c>
      <c r="F32" s="1" t="s">
        <v>48</v>
      </c>
      <c r="G32" s="1" t="s">
        <v>261</v>
      </c>
      <c r="H32" s="1" t="s">
        <v>281</v>
      </c>
      <c r="I32" s="1" t="s">
        <v>257</v>
      </c>
      <c r="J32" s="1" t="s">
        <v>274</v>
      </c>
      <c r="K32" s="1" t="s">
        <v>251</v>
      </c>
    </row>
    <row r="33" spans="2:11" x14ac:dyDescent="0.35">
      <c r="B33" s="1" t="s">
        <v>170</v>
      </c>
      <c r="C33" s="37">
        <v>0</v>
      </c>
      <c r="D33" s="1"/>
      <c r="E33" s="1" t="s">
        <v>35</v>
      </c>
      <c r="F33" s="1" t="s">
        <v>171</v>
      </c>
      <c r="G33" s="1" t="s">
        <v>249</v>
      </c>
      <c r="H33" s="1" t="s">
        <v>192</v>
      </c>
      <c r="I33" s="1" t="s">
        <v>247</v>
      </c>
      <c r="J33" s="1" t="s">
        <v>286</v>
      </c>
      <c r="K33" s="1"/>
    </row>
    <row r="34" spans="2:11" x14ac:dyDescent="0.35">
      <c r="B34" s="1" t="s">
        <v>147</v>
      </c>
      <c r="C34" s="37">
        <v>0</v>
      </c>
      <c r="D34" s="1"/>
      <c r="E34" s="1" t="s">
        <v>42</v>
      </c>
      <c r="F34" s="1" t="s">
        <v>148</v>
      </c>
      <c r="G34" s="1" t="s">
        <v>249</v>
      </c>
      <c r="H34" s="1" t="s">
        <v>253</v>
      </c>
      <c r="I34" s="1" t="s">
        <v>272</v>
      </c>
      <c r="J34" s="1" t="s">
        <v>274</v>
      </c>
      <c r="K34" s="1" t="s">
        <v>260</v>
      </c>
    </row>
    <row r="35" spans="2:11" x14ac:dyDescent="0.35">
      <c r="B35" s="1" t="s">
        <v>153</v>
      </c>
      <c r="C35" s="37">
        <v>0</v>
      </c>
      <c r="D35" s="1" t="s">
        <v>152</v>
      </c>
      <c r="E35" s="1" t="s">
        <v>39</v>
      </c>
      <c r="F35" s="1" t="s">
        <v>40</v>
      </c>
      <c r="G35" s="1"/>
      <c r="H35" s="1"/>
      <c r="I35" s="1" t="s">
        <v>190</v>
      </c>
      <c r="J35" s="1"/>
      <c r="K35" s="1"/>
    </row>
    <row r="36" spans="2:11" x14ac:dyDescent="0.35">
      <c r="B36" s="1" t="s">
        <v>141</v>
      </c>
      <c r="C36" s="37">
        <v>0</v>
      </c>
      <c r="D36" s="1" t="s">
        <v>142</v>
      </c>
      <c r="E36" s="1" t="s">
        <v>34</v>
      </c>
      <c r="F36" s="1" t="s">
        <v>38</v>
      </c>
      <c r="G36" s="1" t="s">
        <v>259</v>
      </c>
      <c r="H36" s="1"/>
      <c r="I36" s="1" t="s">
        <v>190</v>
      </c>
      <c r="J36" s="1"/>
      <c r="K36" s="1"/>
    </row>
    <row r="37" spans="2:11" x14ac:dyDescent="0.35">
      <c r="B37" s="1" t="s">
        <v>175</v>
      </c>
      <c r="C37" s="37">
        <v>0</v>
      </c>
      <c r="D37" s="1"/>
      <c r="E37" s="1" t="s">
        <v>42</v>
      </c>
      <c r="F37" s="1" t="s">
        <v>42</v>
      </c>
      <c r="G37" s="1"/>
      <c r="H37" s="1" t="s">
        <v>192</v>
      </c>
      <c r="I37" s="1"/>
      <c r="J37" s="1"/>
      <c r="K37" s="1"/>
    </row>
    <row r="38" spans="2:11" x14ac:dyDescent="0.35">
      <c r="B38" s="1" t="s">
        <v>142</v>
      </c>
      <c r="C38" s="37">
        <v>0</v>
      </c>
      <c r="D38" s="1" t="s">
        <v>141</v>
      </c>
      <c r="E38" s="1" t="s">
        <v>34</v>
      </c>
      <c r="F38" s="1" t="s">
        <v>34</v>
      </c>
      <c r="G38" s="1" t="s">
        <v>259</v>
      </c>
      <c r="H38" s="1"/>
      <c r="I38" s="1" t="s">
        <v>190</v>
      </c>
      <c r="J38" s="1"/>
      <c r="K38" s="1"/>
    </row>
    <row r="39" spans="2:11" x14ac:dyDescent="0.35">
      <c r="B39" s="1" t="s">
        <v>177</v>
      </c>
      <c r="C39" s="37">
        <v>0</v>
      </c>
      <c r="D39" s="1"/>
      <c r="E39" s="1" t="s">
        <v>36</v>
      </c>
      <c r="F39" s="1" t="s">
        <v>45</v>
      </c>
      <c r="G39" s="1"/>
      <c r="H39" s="1" t="s">
        <v>285</v>
      </c>
      <c r="I39" s="1"/>
      <c r="J39" s="1" t="s">
        <v>288</v>
      </c>
      <c r="K39" s="1"/>
    </row>
    <row r="40" spans="2:11" x14ac:dyDescent="0.35">
      <c r="B40" s="1" t="s">
        <v>179</v>
      </c>
      <c r="C40" s="37">
        <v>1</v>
      </c>
      <c r="D40" s="1"/>
      <c r="E40" s="1" t="s">
        <v>35</v>
      </c>
      <c r="F40" s="1" t="s">
        <v>180</v>
      </c>
      <c r="G40" s="1"/>
      <c r="H40" s="1" t="s">
        <v>193</v>
      </c>
      <c r="I40" s="1" t="s">
        <v>190</v>
      </c>
      <c r="J40" s="1"/>
      <c r="K40" s="1"/>
    </row>
    <row r="41" spans="2:11" x14ac:dyDescent="0.35">
      <c r="B41" s="1" t="s">
        <v>167</v>
      </c>
      <c r="C41" s="37">
        <v>0</v>
      </c>
      <c r="D41" s="1"/>
      <c r="E41" s="1" t="s">
        <v>46</v>
      </c>
      <c r="F41" s="1" t="s">
        <v>168</v>
      </c>
      <c r="G41" s="1"/>
      <c r="H41" s="1" t="s">
        <v>284</v>
      </c>
      <c r="I41" s="1" t="s">
        <v>190</v>
      </c>
      <c r="J41" s="1"/>
      <c r="K41" s="1"/>
    </row>
    <row r="42" spans="2:11" x14ac:dyDescent="0.35">
      <c r="B42" s="1" t="s">
        <v>149</v>
      </c>
      <c r="C42" s="37">
        <v>0</v>
      </c>
      <c r="D42" s="1" t="s">
        <v>150</v>
      </c>
      <c r="E42" s="1" t="s">
        <v>36</v>
      </c>
      <c r="F42" s="1" t="s">
        <v>45</v>
      </c>
      <c r="G42" s="1"/>
      <c r="H42" s="1"/>
      <c r="I42" s="1"/>
      <c r="J42" s="1"/>
      <c r="K42" s="1"/>
    </row>
    <row r="43" spans="2:11" x14ac:dyDescent="0.35">
      <c r="B43" s="1" t="s">
        <v>181</v>
      </c>
      <c r="C43" s="37">
        <v>0</v>
      </c>
      <c r="D43" s="1"/>
      <c r="E43" s="1" t="s">
        <v>182</v>
      </c>
      <c r="F43" s="1" t="s">
        <v>183</v>
      </c>
      <c r="G43" s="1"/>
      <c r="H43" s="1"/>
      <c r="I43" s="1"/>
      <c r="J43" s="1"/>
      <c r="K43" s="1"/>
    </row>
    <row r="44" spans="2:11" x14ac:dyDescent="0.35">
      <c r="B44" s="1" t="s">
        <v>156</v>
      </c>
      <c r="C44" s="37">
        <v>1</v>
      </c>
      <c r="D44" s="1" t="s">
        <v>126</v>
      </c>
      <c r="E44" s="1" t="s">
        <v>33</v>
      </c>
      <c r="F44" s="1" t="s">
        <v>157</v>
      </c>
      <c r="G44" s="1"/>
      <c r="H44" s="1" t="s">
        <v>276</v>
      </c>
      <c r="I44" s="1"/>
      <c r="J44" s="1" t="s">
        <v>277</v>
      </c>
      <c r="K44" s="1"/>
    </row>
    <row r="45" spans="2:11" x14ac:dyDescent="0.35">
      <c r="B45" s="1" t="s">
        <v>185</v>
      </c>
      <c r="C45" s="37">
        <v>1</v>
      </c>
      <c r="D45" s="1"/>
      <c r="E45" s="1" t="s">
        <v>42</v>
      </c>
      <c r="F45" s="1" t="s">
        <v>186</v>
      </c>
      <c r="G45" s="1"/>
      <c r="H45" s="1" t="s">
        <v>290</v>
      </c>
      <c r="I45" s="1"/>
      <c r="J45" s="1" t="s">
        <v>291</v>
      </c>
      <c r="K45" s="1"/>
    </row>
    <row r="46" spans="2:11" x14ac:dyDescent="0.35">
      <c r="B46" s="1" t="s">
        <v>134</v>
      </c>
      <c r="C46" s="37">
        <v>0</v>
      </c>
      <c r="D46" s="1"/>
      <c r="E46" s="1" t="s">
        <v>37</v>
      </c>
      <c r="F46" s="1" t="s">
        <v>135</v>
      </c>
      <c r="G46" s="1" t="s">
        <v>259</v>
      </c>
      <c r="H46" s="1" t="s">
        <v>270</v>
      </c>
      <c r="I46" s="1"/>
      <c r="J46" s="1" t="s">
        <v>254</v>
      </c>
      <c r="K46" s="1"/>
    </row>
    <row r="47" spans="2:11" x14ac:dyDescent="0.35">
      <c r="B47" s="1" t="s">
        <v>123</v>
      </c>
      <c r="C47" s="37">
        <v>0</v>
      </c>
      <c r="D47" s="1"/>
      <c r="E47" s="1" t="s">
        <v>36</v>
      </c>
      <c r="F47" s="1" t="s">
        <v>124</v>
      </c>
      <c r="G47" s="1" t="s">
        <v>259</v>
      </c>
      <c r="H47" s="1" t="s">
        <v>256</v>
      </c>
      <c r="I47" s="1" t="s">
        <v>257</v>
      </c>
      <c r="J47" s="1" t="s">
        <v>258</v>
      </c>
      <c r="K47" s="1" t="s">
        <v>260</v>
      </c>
    </row>
    <row r="48" spans="2:11" x14ac:dyDescent="0.35">
      <c r="B48" s="1" t="s">
        <v>187</v>
      </c>
      <c r="C48" s="37">
        <v>0</v>
      </c>
      <c r="D48" s="1"/>
      <c r="E48" s="1" t="s">
        <v>37</v>
      </c>
      <c r="F48" s="1" t="s">
        <v>184</v>
      </c>
      <c r="G48" s="1" t="s">
        <v>259</v>
      </c>
      <c r="H48" s="1"/>
      <c r="I48" s="1" t="s">
        <v>190</v>
      </c>
      <c r="J48" s="1"/>
      <c r="K48" s="1"/>
    </row>
    <row r="49" spans="2:11" x14ac:dyDescent="0.35">
      <c r="B49" s="1" t="s">
        <v>44</v>
      </c>
      <c r="C49" s="37">
        <v>0</v>
      </c>
      <c r="D49" s="1" t="s">
        <v>176</v>
      </c>
      <c r="E49" s="1" t="s">
        <v>36</v>
      </c>
      <c r="F49" s="1" t="s">
        <v>124</v>
      </c>
      <c r="G49" s="1"/>
      <c r="H49" s="1" t="s">
        <v>287</v>
      </c>
      <c r="I49" s="1" t="s">
        <v>190</v>
      </c>
      <c r="J49" s="1"/>
      <c r="K49" s="1"/>
    </row>
    <row r="50" spans="2:11" x14ac:dyDescent="0.35">
      <c r="B50" s="1" t="s">
        <v>176</v>
      </c>
      <c r="C50" s="37">
        <v>1</v>
      </c>
      <c r="D50" s="1"/>
      <c r="E50" s="1" t="s">
        <v>35</v>
      </c>
      <c r="F50" s="1" t="s">
        <v>196</v>
      </c>
      <c r="G50" s="1"/>
      <c r="H50" s="1"/>
      <c r="I50" s="1"/>
      <c r="J50" s="1" t="s">
        <v>275</v>
      </c>
      <c r="K50" s="1" t="s">
        <v>260</v>
      </c>
    </row>
    <row r="51" spans="2:11" x14ac:dyDescent="0.35">
      <c r="B51" s="1" t="s">
        <v>136</v>
      </c>
      <c r="C51" s="37">
        <v>0</v>
      </c>
      <c r="D51" s="1"/>
      <c r="E51" s="1" t="s">
        <v>34</v>
      </c>
      <c r="F51" s="1" t="s">
        <v>137</v>
      </c>
      <c r="G51" s="1" t="s">
        <v>261</v>
      </c>
      <c r="H51" s="1" t="s">
        <v>253</v>
      </c>
      <c r="I51" s="1" t="s">
        <v>190</v>
      </c>
      <c r="J51" s="1" t="s">
        <v>271</v>
      </c>
      <c r="K51" s="1"/>
    </row>
    <row r="52" spans="2:11" x14ac:dyDescent="0.35">
      <c r="B52" s="1" t="s">
        <v>47</v>
      </c>
      <c r="C52" s="37">
        <v>0</v>
      </c>
      <c r="D52" s="1"/>
      <c r="E52" s="1" t="s">
        <v>41</v>
      </c>
      <c r="F52" s="1" t="s">
        <v>48</v>
      </c>
      <c r="G52" s="1"/>
      <c r="H52" s="1"/>
      <c r="I52" s="1"/>
      <c r="J52" s="1"/>
      <c r="K52" s="1"/>
    </row>
    <row r="53" spans="2:11" x14ac:dyDescent="0.35"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2:11" x14ac:dyDescent="0.35"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2:11" x14ac:dyDescent="0.35"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2:11" x14ac:dyDescent="0.35"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2:11" x14ac:dyDescent="0.35"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2:11" x14ac:dyDescent="0.35"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2:11" x14ac:dyDescent="0.35"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2:11" x14ac:dyDescent="0.35"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2:11" x14ac:dyDescent="0.35"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2:11" x14ac:dyDescent="0.35"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2:11" x14ac:dyDescent="0.35"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2:11" x14ac:dyDescent="0.35"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2:11" x14ac:dyDescent="0.35"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2:11" x14ac:dyDescent="0.35"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2:11" x14ac:dyDescent="0.35"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2:11" x14ac:dyDescent="0.35"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2:11" x14ac:dyDescent="0.35"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2:11" x14ac:dyDescent="0.35"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2:11" x14ac:dyDescent="0.35"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2:11" x14ac:dyDescent="0.35"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2:11" x14ac:dyDescent="0.35"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2:11" x14ac:dyDescent="0.35"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2:11" x14ac:dyDescent="0.35"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2:11" x14ac:dyDescent="0.35"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2:11" x14ac:dyDescent="0.35"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2:11" x14ac:dyDescent="0.35"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2:11" x14ac:dyDescent="0.35"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2:11" x14ac:dyDescent="0.35"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2:11" x14ac:dyDescent="0.35"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2:11" x14ac:dyDescent="0.35"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2:11" x14ac:dyDescent="0.35"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2:11" x14ac:dyDescent="0.35"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2:11" x14ac:dyDescent="0.35"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2:11" x14ac:dyDescent="0.35"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2:11" x14ac:dyDescent="0.35"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2:11" x14ac:dyDescent="0.35"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2:1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2:11" x14ac:dyDescent="0.35"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2:11" x14ac:dyDescent="0.35"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2:11" x14ac:dyDescent="0.35"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2:11" x14ac:dyDescent="0.35"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2:11" x14ac:dyDescent="0.35"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2:11" x14ac:dyDescent="0.35"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2:11" x14ac:dyDescent="0.35"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2:11" x14ac:dyDescent="0.35"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2:11" x14ac:dyDescent="0.35"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2:11" x14ac:dyDescent="0.35"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2:11" x14ac:dyDescent="0.35"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2:11" x14ac:dyDescent="0.35"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2:11" x14ac:dyDescent="0.35"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2:11" x14ac:dyDescent="0.35"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2:11" x14ac:dyDescent="0.35"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2:11" x14ac:dyDescent="0.35"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2:11" x14ac:dyDescent="0.35"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2:11" x14ac:dyDescent="0.35"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2:11" x14ac:dyDescent="0.35"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2:11" x14ac:dyDescent="0.35"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2:11" x14ac:dyDescent="0.35"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2:11" x14ac:dyDescent="0.35"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2:11" x14ac:dyDescent="0.35"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2:11" x14ac:dyDescent="0.35"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2:11" x14ac:dyDescent="0.35"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2:11" x14ac:dyDescent="0.35"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2:11" x14ac:dyDescent="0.35"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2:11" x14ac:dyDescent="0.35"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2:11" x14ac:dyDescent="0.35"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2:11" x14ac:dyDescent="0.35"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2:11" x14ac:dyDescent="0.35"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2:11" x14ac:dyDescent="0.35"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2:11" x14ac:dyDescent="0.35"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2:11" x14ac:dyDescent="0.35"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2:11" x14ac:dyDescent="0.35"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2:11" x14ac:dyDescent="0.35"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2:11" x14ac:dyDescent="0.35"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2:11" x14ac:dyDescent="0.35"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2:11" x14ac:dyDescent="0.35"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2:11" x14ac:dyDescent="0.35"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2:11" x14ac:dyDescent="0.35"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2:11" x14ac:dyDescent="0.35"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2:11" x14ac:dyDescent="0.35"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2:11" x14ac:dyDescent="0.35"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2:11" x14ac:dyDescent="0.35"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2:11" x14ac:dyDescent="0.35"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2:11" x14ac:dyDescent="0.35"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2:1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2:11" x14ac:dyDescent="0.35"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2:11" x14ac:dyDescent="0.35"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2:11" x14ac:dyDescent="0.35"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2:11" x14ac:dyDescent="0.35"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2:11" x14ac:dyDescent="0.35"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2:11" x14ac:dyDescent="0.35"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2:11" x14ac:dyDescent="0.35"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2:11" x14ac:dyDescent="0.35"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2:11" x14ac:dyDescent="0.35"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2:11" x14ac:dyDescent="0.35"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2:11" x14ac:dyDescent="0.35"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2:11" x14ac:dyDescent="0.35"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2:11" x14ac:dyDescent="0.35"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2:11" x14ac:dyDescent="0.35"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2:11" x14ac:dyDescent="0.35"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2:11" x14ac:dyDescent="0.35"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2:11" x14ac:dyDescent="0.35"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2:11" x14ac:dyDescent="0.35"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2:11" x14ac:dyDescent="0.35"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2:11" x14ac:dyDescent="0.35"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2:11" x14ac:dyDescent="0.35"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2:11" x14ac:dyDescent="0.35"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2:11" x14ac:dyDescent="0.35"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2:11" x14ac:dyDescent="0.35"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2:11" x14ac:dyDescent="0.35"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2:11" x14ac:dyDescent="0.35"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2:11" x14ac:dyDescent="0.35"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2:11" x14ac:dyDescent="0.35"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2:11" x14ac:dyDescent="0.35"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2:11" x14ac:dyDescent="0.35"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2:11" x14ac:dyDescent="0.35"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2:11" x14ac:dyDescent="0.35"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2:11" x14ac:dyDescent="0.35"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2:11" x14ac:dyDescent="0.35"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2:11" x14ac:dyDescent="0.35"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2:11" x14ac:dyDescent="0.35"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2:11" x14ac:dyDescent="0.35"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2:11" x14ac:dyDescent="0.35"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2:11" x14ac:dyDescent="0.35"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2:11" x14ac:dyDescent="0.35"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2:11" x14ac:dyDescent="0.35"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2:11" x14ac:dyDescent="0.35"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2:11" x14ac:dyDescent="0.35"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2:11" x14ac:dyDescent="0.35"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2:11" x14ac:dyDescent="0.35"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2:11" x14ac:dyDescent="0.35"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2:11" x14ac:dyDescent="0.35"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2:1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2:11" x14ac:dyDescent="0.35"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2:11" x14ac:dyDescent="0.35"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2:11" x14ac:dyDescent="0.35"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2:11" x14ac:dyDescent="0.35"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2:11" x14ac:dyDescent="0.35"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2:11" x14ac:dyDescent="0.35"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2:11" x14ac:dyDescent="0.35"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2:1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2:11" x14ac:dyDescent="0.35"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2:11" x14ac:dyDescent="0.35"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2:11" x14ac:dyDescent="0.35"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2:11" x14ac:dyDescent="0.35"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2:11" x14ac:dyDescent="0.35"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2:11" x14ac:dyDescent="0.35"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2:11" x14ac:dyDescent="0.35"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2:11" x14ac:dyDescent="0.35"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2:11" x14ac:dyDescent="0.35"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2:11" x14ac:dyDescent="0.35"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2:11" x14ac:dyDescent="0.35"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2:11" x14ac:dyDescent="0.35"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2:11" x14ac:dyDescent="0.35"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2:11" x14ac:dyDescent="0.35"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2:11" x14ac:dyDescent="0.35"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2:11" x14ac:dyDescent="0.35"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2:11" x14ac:dyDescent="0.35"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2:11" x14ac:dyDescent="0.35"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2:11" x14ac:dyDescent="0.35"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2:11" x14ac:dyDescent="0.35"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2:11" x14ac:dyDescent="0.35"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2:11" x14ac:dyDescent="0.35"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2:11" x14ac:dyDescent="0.35"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2:11" x14ac:dyDescent="0.35"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2:11" x14ac:dyDescent="0.35"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2:11" x14ac:dyDescent="0.35"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2:11" x14ac:dyDescent="0.35"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2:11" x14ac:dyDescent="0.35"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2:11" x14ac:dyDescent="0.35"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2:11" x14ac:dyDescent="0.35"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2:11" x14ac:dyDescent="0.35"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2:11" x14ac:dyDescent="0.35"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2:11" x14ac:dyDescent="0.35"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2:11" x14ac:dyDescent="0.35"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2:11" x14ac:dyDescent="0.35"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2:11" x14ac:dyDescent="0.35"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2:11" x14ac:dyDescent="0.35"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2:11" x14ac:dyDescent="0.35"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2:11" x14ac:dyDescent="0.35"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2:1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2:11" x14ac:dyDescent="0.35"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2:11" x14ac:dyDescent="0.35"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2:11" x14ac:dyDescent="0.35"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2:11" x14ac:dyDescent="0.35"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2:11" x14ac:dyDescent="0.35"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2:11" x14ac:dyDescent="0.35"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2:11" x14ac:dyDescent="0.35"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2:11" x14ac:dyDescent="0.35"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2:11" x14ac:dyDescent="0.35"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2:11" x14ac:dyDescent="0.35"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2:11" x14ac:dyDescent="0.35"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2:11" x14ac:dyDescent="0.35"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2:11" x14ac:dyDescent="0.35"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2:11" x14ac:dyDescent="0.35"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2:11" x14ac:dyDescent="0.35"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2:11" x14ac:dyDescent="0.35"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2:11" x14ac:dyDescent="0.35"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2:11" x14ac:dyDescent="0.35"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2:11" x14ac:dyDescent="0.35"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2:11" x14ac:dyDescent="0.35"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2:11" x14ac:dyDescent="0.35"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2:11" x14ac:dyDescent="0.35"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2:11" x14ac:dyDescent="0.35"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2:11" x14ac:dyDescent="0.35"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2:11" x14ac:dyDescent="0.35"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2:11" x14ac:dyDescent="0.35"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2:11" x14ac:dyDescent="0.35"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2:11" x14ac:dyDescent="0.35"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2:11" x14ac:dyDescent="0.35"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2:11" x14ac:dyDescent="0.35"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2:11" x14ac:dyDescent="0.35"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2:11" x14ac:dyDescent="0.35"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2:11" x14ac:dyDescent="0.35"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2:11" x14ac:dyDescent="0.35"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2:11" x14ac:dyDescent="0.35"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2:11" x14ac:dyDescent="0.35"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2:11" x14ac:dyDescent="0.35"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2:11" x14ac:dyDescent="0.35"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2:11" x14ac:dyDescent="0.35"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2:11" x14ac:dyDescent="0.35"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2:11" x14ac:dyDescent="0.35"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2:11" x14ac:dyDescent="0.35"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2:11" x14ac:dyDescent="0.35"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2:11" x14ac:dyDescent="0.35"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2:11" x14ac:dyDescent="0.35"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2:11" x14ac:dyDescent="0.35"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2:11" x14ac:dyDescent="0.35"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2:1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2:11" x14ac:dyDescent="0.35"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2:11" x14ac:dyDescent="0.35"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2:11" x14ac:dyDescent="0.35"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2:11" x14ac:dyDescent="0.35"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2:11" x14ac:dyDescent="0.35"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2:11" x14ac:dyDescent="0.35"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2:11" x14ac:dyDescent="0.35"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2:11" x14ac:dyDescent="0.35"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2:11" x14ac:dyDescent="0.35"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2:11" x14ac:dyDescent="0.35"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2:11" x14ac:dyDescent="0.35"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2:11" x14ac:dyDescent="0.35"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2:11" x14ac:dyDescent="0.35"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2:11" x14ac:dyDescent="0.35"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2:11" x14ac:dyDescent="0.35"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2:11" x14ac:dyDescent="0.35"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2:11" x14ac:dyDescent="0.35"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2:11" x14ac:dyDescent="0.35"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2:11" x14ac:dyDescent="0.35"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2:11" x14ac:dyDescent="0.35"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2:11" x14ac:dyDescent="0.35"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2:11" x14ac:dyDescent="0.35"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2:11" x14ac:dyDescent="0.35"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2:11" x14ac:dyDescent="0.35"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2:11" x14ac:dyDescent="0.35"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2:11" x14ac:dyDescent="0.35"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2:11" x14ac:dyDescent="0.35"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2:11" x14ac:dyDescent="0.35"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2:11" x14ac:dyDescent="0.35"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2:11" x14ac:dyDescent="0.35"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2:11" x14ac:dyDescent="0.35"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2:11" x14ac:dyDescent="0.35"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2:11" x14ac:dyDescent="0.35"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2:11" x14ac:dyDescent="0.35"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2:11" x14ac:dyDescent="0.35"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2:11" x14ac:dyDescent="0.35"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2:11" x14ac:dyDescent="0.35"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2:11" x14ac:dyDescent="0.35"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2:11" x14ac:dyDescent="0.35"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2:11" x14ac:dyDescent="0.35"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2:11" x14ac:dyDescent="0.35"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2:11" x14ac:dyDescent="0.35"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2:11" x14ac:dyDescent="0.35"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2:11" x14ac:dyDescent="0.35"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2:11" x14ac:dyDescent="0.35"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2:11" x14ac:dyDescent="0.35"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2:11" x14ac:dyDescent="0.35"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2:1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2:11" x14ac:dyDescent="0.35"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2:11" x14ac:dyDescent="0.35"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2:11" x14ac:dyDescent="0.35"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2:11" x14ac:dyDescent="0.35"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2:11" x14ac:dyDescent="0.35"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2:11" x14ac:dyDescent="0.35"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2:11" x14ac:dyDescent="0.35"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2:11" x14ac:dyDescent="0.35"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2:11" x14ac:dyDescent="0.35"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2:11" x14ac:dyDescent="0.35"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2:11" x14ac:dyDescent="0.35"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2:11" x14ac:dyDescent="0.35"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2:11" x14ac:dyDescent="0.35"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2:11" x14ac:dyDescent="0.35"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2:11" x14ac:dyDescent="0.35"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2:11" x14ac:dyDescent="0.35"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2:11" x14ac:dyDescent="0.35"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2:11" x14ac:dyDescent="0.35"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2:11" x14ac:dyDescent="0.35"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2:11" x14ac:dyDescent="0.35"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2:11" x14ac:dyDescent="0.35"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2:11" x14ac:dyDescent="0.35"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2:11" x14ac:dyDescent="0.35"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2:11" x14ac:dyDescent="0.35"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2:11" x14ac:dyDescent="0.35"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2:11" x14ac:dyDescent="0.35"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2:11" x14ac:dyDescent="0.35"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2:11" x14ac:dyDescent="0.35"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2:11" x14ac:dyDescent="0.35"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2:11" x14ac:dyDescent="0.35"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2:11" x14ac:dyDescent="0.35"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2:11" x14ac:dyDescent="0.35"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2:11" x14ac:dyDescent="0.35"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2:11" x14ac:dyDescent="0.35"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2:11" x14ac:dyDescent="0.35"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2:11" x14ac:dyDescent="0.35"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2:11" x14ac:dyDescent="0.35"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2:11" x14ac:dyDescent="0.35"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2:11" x14ac:dyDescent="0.35"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2:11" x14ac:dyDescent="0.35"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2:11" x14ac:dyDescent="0.35"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2:11" x14ac:dyDescent="0.35"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2:11" x14ac:dyDescent="0.35"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2:11" x14ac:dyDescent="0.35"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2:11" x14ac:dyDescent="0.35"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2:11" x14ac:dyDescent="0.35"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2:11" x14ac:dyDescent="0.35"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2:1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2:11" x14ac:dyDescent="0.35"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2:11" x14ac:dyDescent="0.35"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2:11" x14ac:dyDescent="0.35"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2:11" x14ac:dyDescent="0.35"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2:11" x14ac:dyDescent="0.35"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2:11" x14ac:dyDescent="0.35"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2:11" x14ac:dyDescent="0.35"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2:11" x14ac:dyDescent="0.35"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2:11" x14ac:dyDescent="0.35"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2:11" x14ac:dyDescent="0.35"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2:11" x14ac:dyDescent="0.35"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2:11" x14ac:dyDescent="0.35"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2:11" x14ac:dyDescent="0.35"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2:11" x14ac:dyDescent="0.35"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2:11" x14ac:dyDescent="0.35"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2:11" x14ac:dyDescent="0.35"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2:11" x14ac:dyDescent="0.35"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2:11" x14ac:dyDescent="0.35"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2:11" x14ac:dyDescent="0.35"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2:11" x14ac:dyDescent="0.35"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2:11" x14ac:dyDescent="0.35"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2:11" x14ac:dyDescent="0.35"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2:11" x14ac:dyDescent="0.35"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2:11" x14ac:dyDescent="0.35"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2:11" x14ac:dyDescent="0.35"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2:11" x14ac:dyDescent="0.35"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2:11" x14ac:dyDescent="0.35"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2:11" x14ac:dyDescent="0.35"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2:11" x14ac:dyDescent="0.35"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2:11" x14ac:dyDescent="0.35"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2:11" x14ac:dyDescent="0.35"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2:11" x14ac:dyDescent="0.35"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2:11" x14ac:dyDescent="0.35"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2:11" x14ac:dyDescent="0.35"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2:11" x14ac:dyDescent="0.35"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2:11" x14ac:dyDescent="0.35"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2:11" x14ac:dyDescent="0.35"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2:11" x14ac:dyDescent="0.35"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2:11" x14ac:dyDescent="0.35"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2:11" x14ac:dyDescent="0.35"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2:11" x14ac:dyDescent="0.35"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2:11" x14ac:dyDescent="0.35"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2:11" x14ac:dyDescent="0.35"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2:11" x14ac:dyDescent="0.35"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2:11" x14ac:dyDescent="0.35"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2:11" x14ac:dyDescent="0.35"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2:11" x14ac:dyDescent="0.35"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2:1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2:11" x14ac:dyDescent="0.35"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2:11" x14ac:dyDescent="0.35"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2:11" x14ac:dyDescent="0.35"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2:11" x14ac:dyDescent="0.35"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2:11" x14ac:dyDescent="0.35"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2:11" x14ac:dyDescent="0.35"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2:11" x14ac:dyDescent="0.35"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2:11" x14ac:dyDescent="0.35"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2:11" x14ac:dyDescent="0.35"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2:11" x14ac:dyDescent="0.35"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2:11" x14ac:dyDescent="0.35"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2:11" x14ac:dyDescent="0.35"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2:11" x14ac:dyDescent="0.35"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2:11" x14ac:dyDescent="0.35"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2:11" x14ac:dyDescent="0.35"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2:11" x14ac:dyDescent="0.35"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2:11" x14ac:dyDescent="0.35"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2:11" x14ac:dyDescent="0.35"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2:11" x14ac:dyDescent="0.35"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2:11" x14ac:dyDescent="0.35"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2:11" x14ac:dyDescent="0.35"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2:11" x14ac:dyDescent="0.35"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2:11" x14ac:dyDescent="0.35"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2:11" x14ac:dyDescent="0.35"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2:11" x14ac:dyDescent="0.35"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2:11" x14ac:dyDescent="0.35"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2:11" x14ac:dyDescent="0.35"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2:11" x14ac:dyDescent="0.35"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2:11" x14ac:dyDescent="0.35"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2:11" x14ac:dyDescent="0.35"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2:11" x14ac:dyDescent="0.35"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2:11" x14ac:dyDescent="0.35"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2:11" x14ac:dyDescent="0.35"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2:11" x14ac:dyDescent="0.35"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2:11" x14ac:dyDescent="0.35"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2:11" x14ac:dyDescent="0.35"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2:11" x14ac:dyDescent="0.35"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2:11" x14ac:dyDescent="0.35"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2:11" x14ac:dyDescent="0.35"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2:11" x14ac:dyDescent="0.35"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2:11" x14ac:dyDescent="0.35"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2:11" x14ac:dyDescent="0.35"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2:11" x14ac:dyDescent="0.35"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2:11" x14ac:dyDescent="0.35"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2:11" x14ac:dyDescent="0.35"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2:11" x14ac:dyDescent="0.35"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2:11" x14ac:dyDescent="0.35"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2:1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2:1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2:1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2:1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2:1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2:1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2:1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2:1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2:11" x14ac:dyDescent="0.35"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2:11" x14ac:dyDescent="0.35"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2:11" x14ac:dyDescent="0.35"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2:11" x14ac:dyDescent="0.35"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2:11" x14ac:dyDescent="0.35"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2:11" x14ac:dyDescent="0.35"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2:11" x14ac:dyDescent="0.35"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2:11" x14ac:dyDescent="0.35"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2:11" x14ac:dyDescent="0.35"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2:11" x14ac:dyDescent="0.35"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2:11" x14ac:dyDescent="0.35"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2:11" x14ac:dyDescent="0.35"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2:11" x14ac:dyDescent="0.35"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2:11" x14ac:dyDescent="0.35"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2:11" x14ac:dyDescent="0.35"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2:11" x14ac:dyDescent="0.35"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2:11" x14ac:dyDescent="0.35"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2:11" x14ac:dyDescent="0.35"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2:11" x14ac:dyDescent="0.35"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2:11" x14ac:dyDescent="0.35"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2:11" x14ac:dyDescent="0.35"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2:11" x14ac:dyDescent="0.35"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2:11" x14ac:dyDescent="0.35"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2:11" x14ac:dyDescent="0.35"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2:11" x14ac:dyDescent="0.35"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2:11" x14ac:dyDescent="0.35"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2:11" x14ac:dyDescent="0.35"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2:11" x14ac:dyDescent="0.35"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2:11" x14ac:dyDescent="0.35"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2:11" x14ac:dyDescent="0.35"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2:11" x14ac:dyDescent="0.35"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2:11" x14ac:dyDescent="0.35"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2:11" x14ac:dyDescent="0.35"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2:11" x14ac:dyDescent="0.35"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2:11" x14ac:dyDescent="0.35"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2:11" x14ac:dyDescent="0.35"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2:11" x14ac:dyDescent="0.35"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2:11" x14ac:dyDescent="0.35"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2:11" x14ac:dyDescent="0.35"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2:11" x14ac:dyDescent="0.35"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2:11" x14ac:dyDescent="0.35"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2:11" x14ac:dyDescent="0.35"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2:11" x14ac:dyDescent="0.35"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2:11" x14ac:dyDescent="0.35"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2:11" x14ac:dyDescent="0.35"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2:11" x14ac:dyDescent="0.35"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2:11" x14ac:dyDescent="0.35"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2:11" x14ac:dyDescent="0.35"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2:11" x14ac:dyDescent="0.35"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2:11" x14ac:dyDescent="0.35"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2:11" x14ac:dyDescent="0.35"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2:11" x14ac:dyDescent="0.35"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2:11" x14ac:dyDescent="0.35"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2:11" x14ac:dyDescent="0.35"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2:11" x14ac:dyDescent="0.35"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2:11" x14ac:dyDescent="0.35"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2:11" x14ac:dyDescent="0.35"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2:11" x14ac:dyDescent="0.35"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2:11" x14ac:dyDescent="0.35"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2:11" x14ac:dyDescent="0.35"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2:11" x14ac:dyDescent="0.35"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2:11" x14ac:dyDescent="0.35"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2:11" x14ac:dyDescent="0.35"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2:11" x14ac:dyDescent="0.35"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2:11" x14ac:dyDescent="0.35"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2:11" x14ac:dyDescent="0.35"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2:11" x14ac:dyDescent="0.35"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2:11" x14ac:dyDescent="0.35"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2:11" x14ac:dyDescent="0.35"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2:11" x14ac:dyDescent="0.35"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2:11" x14ac:dyDescent="0.35"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2:11" x14ac:dyDescent="0.35"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2:11" x14ac:dyDescent="0.35"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2:11" x14ac:dyDescent="0.35"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2:11" x14ac:dyDescent="0.35"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2:11" x14ac:dyDescent="0.35"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2:11" x14ac:dyDescent="0.35"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2:11" x14ac:dyDescent="0.35"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2:11" x14ac:dyDescent="0.35"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2:11" x14ac:dyDescent="0.35"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2:11" x14ac:dyDescent="0.35"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2:11" x14ac:dyDescent="0.35"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2:11" x14ac:dyDescent="0.35"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2:11" x14ac:dyDescent="0.35"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2:11" x14ac:dyDescent="0.35"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2:11" x14ac:dyDescent="0.35"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2:11" x14ac:dyDescent="0.35"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2:11" x14ac:dyDescent="0.35"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2:11" x14ac:dyDescent="0.35"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2:11" x14ac:dyDescent="0.35"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2:11" x14ac:dyDescent="0.35"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2:11" x14ac:dyDescent="0.35"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2:11" x14ac:dyDescent="0.35"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2:11" x14ac:dyDescent="0.35"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2:11" x14ac:dyDescent="0.35"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2:11" x14ac:dyDescent="0.35"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2:11" x14ac:dyDescent="0.35"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2:11" x14ac:dyDescent="0.35"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2:11" x14ac:dyDescent="0.35"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2:11" x14ac:dyDescent="0.35"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2:11" x14ac:dyDescent="0.35"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2:11" x14ac:dyDescent="0.35"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2:11" x14ac:dyDescent="0.35"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2:11" x14ac:dyDescent="0.35"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2:11" x14ac:dyDescent="0.35"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2:11" x14ac:dyDescent="0.35"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2:11" x14ac:dyDescent="0.35"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2:11" x14ac:dyDescent="0.35"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2:11" x14ac:dyDescent="0.35"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2:11" x14ac:dyDescent="0.35"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2:11" x14ac:dyDescent="0.35"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2:11" x14ac:dyDescent="0.35"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2:11" x14ac:dyDescent="0.35"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2:11" x14ac:dyDescent="0.35"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2:11" x14ac:dyDescent="0.35"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2:11" x14ac:dyDescent="0.35"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2:11" x14ac:dyDescent="0.35"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2:11" x14ac:dyDescent="0.35"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2:11" x14ac:dyDescent="0.35"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2:11" x14ac:dyDescent="0.35"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2:11" x14ac:dyDescent="0.35"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2:11" x14ac:dyDescent="0.35"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2:11" x14ac:dyDescent="0.35"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2:11" x14ac:dyDescent="0.35"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2:11" x14ac:dyDescent="0.35"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2:11" x14ac:dyDescent="0.35"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2:11" x14ac:dyDescent="0.35"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2:11" x14ac:dyDescent="0.35"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2:11" x14ac:dyDescent="0.35"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2:11" x14ac:dyDescent="0.35"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2:11" x14ac:dyDescent="0.35"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2:11" x14ac:dyDescent="0.35"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2:11" x14ac:dyDescent="0.35"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2:11" x14ac:dyDescent="0.35"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2:11" x14ac:dyDescent="0.35"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2:11" x14ac:dyDescent="0.35"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2:11" x14ac:dyDescent="0.35"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2:11" x14ac:dyDescent="0.35"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2:11" x14ac:dyDescent="0.35"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2:11" x14ac:dyDescent="0.35"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2:11" x14ac:dyDescent="0.35"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2:11" x14ac:dyDescent="0.35"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2:11" x14ac:dyDescent="0.35"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2:11" x14ac:dyDescent="0.35"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2:11" x14ac:dyDescent="0.35"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2:11" x14ac:dyDescent="0.35"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2:11" x14ac:dyDescent="0.35"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2:11" x14ac:dyDescent="0.35"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2:11" x14ac:dyDescent="0.35"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2:11" x14ac:dyDescent="0.35"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2:11" x14ac:dyDescent="0.35"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2:11" x14ac:dyDescent="0.35"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2:11" x14ac:dyDescent="0.35"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2:11" x14ac:dyDescent="0.35"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2:11" x14ac:dyDescent="0.35"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2:11" x14ac:dyDescent="0.35"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2:11" x14ac:dyDescent="0.35"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2:11" x14ac:dyDescent="0.35"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2:11" x14ac:dyDescent="0.35"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2:11" x14ac:dyDescent="0.35"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2:11" x14ac:dyDescent="0.35"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2:11" x14ac:dyDescent="0.35"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2:11" x14ac:dyDescent="0.35"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2:11" x14ac:dyDescent="0.35"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2:11" x14ac:dyDescent="0.35"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2:11" x14ac:dyDescent="0.35"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2:11" x14ac:dyDescent="0.35"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2:11" x14ac:dyDescent="0.35"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2:11" x14ac:dyDescent="0.35"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2:11" x14ac:dyDescent="0.35"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2:11" x14ac:dyDescent="0.35"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2:11" x14ac:dyDescent="0.35"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2:11" x14ac:dyDescent="0.35"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2:11" x14ac:dyDescent="0.35"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2:11" x14ac:dyDescent="0.35"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2:11" x14ac:dyDescent="0.35"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2:11" x14ac:dyDescent="0.35"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2:11" x14ac:dyDescent="0.35"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2:11" x14ac:dyDescent="0.35"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2:11" x14ac:dyDescent="0.35"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2:11" x14ac:dyDescent="0.35"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2:11" x14ac:dyDescent="0.35"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2:11" x14ac:dyDescent="0.35"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2:11" x14ac:dyDescent="0.35"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2:11" x14ac:dyDescent="0.35"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2:11" x14ac:dyDescent="0.35"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2:11" x14ac:dyDescent="0.35"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2:11" x14ac:dyDescent="0.35"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2:11" x14ac:dyDescent="0.35"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2:11" x14ac:dyDescent="0.35"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2:11" x14ac:dyDescent="0.35"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2:11" x14ac:dyDescent="0.35"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2:11" x14ac:dyDescent="0.35"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2:11" x14ac:dyDescent="0.35"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2:11" x14ac:dyDescent="0.35"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2:11" x14ac:dyDescent="0.35"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2:11" x14ac:dyDescent="0.35"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2:11" x14ac:dyDescent="0.35"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2:11" x14ac:dyDescent="0.35"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2:11" x14ac:dyDescent="0.35"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2:11" x14ac:dyDescent="0.35"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2:11" x14ac:dyDescent="0.35"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2:11" x14ac:dyDescent="0.35"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2:11" x14ac:dyDescent="0.35"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2:11" x14ac:dyDescent="0.35"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2:11" x14ac:dyDescent="0.35"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2:11" x14ac:dyDescent="0.35"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2:11" x14ac:dyDescent="0.35"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2:11" x14ac:dyDescent="0.35"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2:11" x14ac:dyDescent="0.35"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2:11" x14ac:dyDescent="0.35"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2:11" x14ac:dyDescent="0.35"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2:11" x14ac:dyDescent="0.35"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2:11" x14ac:dyDescent="0.35"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2:11" x14ac:dyDescent="0.35"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2:11" x14ac:dyDescent="0.35"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2:11" x14ac:dyDescent="0.35"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2:11" x14ac:dyDescent="0.35"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2:11" x14ac:dyDescent="0.35"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2:11" x14ac:dyDescent="0.35"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2:11" x14ac:dyDescent="0.35"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2:11" x14ac:dyDescent="0.35"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2:11" x14ac:dyDescent="0.35"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2:11" x14ac:dyDescent="0.35"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2:11" x14ac:dyDescent="0.35"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2:11" x14ac:dyDescent="0.35"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2:11" x14ac:dyDescent="0.35"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2:11" x14ac:dyDescent="0.35"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2:11" x14ac:dyDescent="0.35"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2:11" x14ac:dyDescent="0.35"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2:11" x14ac:dyDescent="0.35"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2:11" x14ac:dyDescent="0.35"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2:11" x14ac:dyDescent="0.35"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2:11" x14ac:dyDescent="0.35"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2:11" x14ac:dyDescent="0.35"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2:11" x14ac:dyDescent="0.35"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2:11" x14ac:dyDescent="0.35"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2:11" x14ac:dyDescent="0.35"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2:11" x14ac:dyDescent="0.35"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2:11" x14ac:dyDescent="0.35"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2:11" x14ac:dyDescent="0.35"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2:11" x14ac:dyDescent="0.35"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2:11" x14ac:dyDescent="0.35"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2:11" x14ac:dyDescent="0.35"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2:11" x14ac:dyDescent="0.35"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2:11" x14ac:dyDescent="0.35"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2:11" x14ac:dyDescent="0.35"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2:11" x14ac:dyDescent="0.35"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2:11" x14ac:dyDescent="0.35"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2:11" x14ac:dyDescent="0.35"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2:11" x14ac:dyDescent="0.35"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2:11" x14ac:dyDescent="0.35"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2:11" x14ac:dyDescent="0.35"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2:11" x14ac:dyDescent="0.35"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2:11" x14ac:dyDescent="0.35"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2:11" x14ac:dyDescent="0.35"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2:11" x14ac:dyDescent="0.35"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2:11" x14ac:dyDescent="0.35"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2:11" x14ac:dyDescent="0.35"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2:11" x14ac:dyDescent="0.35"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2:11" x14ac:dyDescent="0.35"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2:11" x14ac:dyDescent="0.35"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2:11" x14ac:dyDescent="0.35"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2:11" x14ac:dyDescent="0.35"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2:11" x14ac:dyDescent="0.35"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2:11" x14ac:dyDescent="0.35"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2:11" x14ac:dyDescent="0.35"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2:11" x14ac:dyDescent="0.35"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2:11" x14ac:dyDescent="0.35">
      <c r="B749" s="1"/>
      <c r="C749" s="1"/>
      <c r="D749" s="1"/>
      <c r="E749" s="1"/>
      <c r="F749" s="1"/>
      <c r="G749" s="1"/>
      <c r="H749" s="1"/>
      <c r="I749" s="1"/>
      <c r="J749" s="1"/>
      <c r="K749" s="1"/>
    </row>
  </sheetData>
  <mergeCells count="1">
    <mergeCell ref="B6:K6"/>
  </mergeCells>
  <dataValidations disablePrompts="1" count="1">
    <dataValidation type="whole" allowBlank="1" showInputMessage="1" showErrorMessage="1" sqref="C8:C112">
      <formula1>0</formula1>
      <formula2>1</formula2>
    </dataValidation>
  </dataValidation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J46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G28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R898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48"/>
  <sheetViews>
    <sheetView showGridLines="0" workbookViewId="0">
      <selection activeCell="E19" sqref="E19"/>
    </sheetView>
  </sheetViews>
  <sheetFormatPr defaultRowHeight="14.5" x14ac:dyDescent="0.35"/>
  <cols>
    <col min="2" max="2" width="12" bestFit="1" customWidth="1"/>
    <col min="3" max="3" width="31.54296875" customWidth="1"/>
    <col min="4" max="4" width="10.7265625" bestFit="1" customWidth="1"/>
    <col min="5" max="5" width="5.26953125" customWidth="1"/>
    <col min="6" max="7" width="11.81640625" bestFit="1" customWidth="1"/>
    <col min="8" max="8" width="67.36328125" customWidth="1"/>
    <col min="11" max="11" width="16" bestFit="1" customWidth="1"/>
  </cols>
  <sheetData>
    <row r="1" spans="2:8" s="36" customFormat="1" x14ac:dyDescent="0.35"/>
    <row r="2" spans="2:8" s="36" customFormat="1" x14ac:dyDescent="0.35"/>
    <row r="3" spans="2:8" s="36" customFormat="1" x14ac:dyDescent="0.35"/>
    <row r="4" spans="2:8" s="36" customFormat="1" x14ac:dyDescent="0.35"/>
    <row r="6" spans="2:8" x14ac:dyDescent="0.35">
      <c r="B6" s="41" t="s">
        <v>16</v>
      </c>
      <c r="C6" s="41"/>
      <c r="D6" s="41"/>
      <c r="E6" s="41"/>
      <c r="F6" s="41"/>
      <c r="G6" s="41"/>
      <c r="H6" s="41"/>
    </row>
    <row r="7" spans="2:8" x14ac:dyDescent="0.35">
      <c r="B7" s="2" t="s">
        <v>49</v>
      </c>
      <c r="C7" s="2" t="s">
        <v>50</v>
      </c>
      <c r="D7" s="2" t="s">
        <v>110</v>
      </c>
      <c r="E7" s="2" t="s">
        <v>51</v>
      </c>
      <c r="F7" s="23" t="s">
        <v>52</v>
      </c>
      <c r="G7" s="23" t="s">
        <v>53</v>
      </c>
      <c r="H7" s="2" t="s">
        <v>32</v>
      </c>
    </row>
    <row r="8" spans="2:8" x14ac:dyDescent="0.35">
      <c r="B8" s="1" t="s">
        <v>86</v>
      </c>
      <c r="C8" s="1" t="s">
        <v>87</v>
      </c>
      <c r="D8" s="1" t="s">
        <v>56</v>
      </c>
      <c r="E8" s="1" t="s">
        <v>57</v>
      </c>
      <c r="F8" s="30" t="s">
        <v>104</v>
      </c>
      <c r="G8" s="30" t="s">
        <v>105</v>
      </c>
      <c r="H8" s="1" t="s">
        <v>2</v>
      </c>
    </row>
    <row r="9" spans="2:8" x14ac:dyDescent="0.35">
      <c r="B9" s="1" t="s">
        <v>64</v>
      </c>
      <c r="C9" s="1" t="s">
        <v>65</v>
      </c>
      <c r="D9" s="1" t="s">
        <v>56</v>
      </c>
      <c r="E9" s="1" t="s">
        <v>57</v>
      </c>
      <c r="F9" s="30" t="s">
        <v>104</v>
      </c>
      <c r="G9" s="30" t="s">
        <v>105</v>
      </c>
      <c r="H9" s="1" t="s">
        <v>11</v>
      </c>
    </row>
    <row r="10" spans="2:8" x14ac:dyDescent="0.35">
      <c r="B10" s="1" t="s">
        <v>90</v>
      </c>
      <c r="C10" s="1" t="s">
        <v>91</v>
      </c>
      <c r="D10" s="1" t="s">
        <v>56</v>
      </c>
      <c r="E10" s="1" t="s">
        <v>60</v>
      </c>
      <c r="F10" s="30" t="s">
        <v>104</v>
      </c>
      <c r="G10" s="30" t="s">
        <v>105</v>
      </c>
      <c r="H10" s="1" t="s">
        <v>4</v>
      </c>
    </row>
    <row r="11" spans="2:8" x14ac:dyDescent="0.35">
      <c r="B11" s="1" t="s">
        <v>71</v>
      </c>
      <c r="C11" s="1" t="s">
        <v>72</v>
      </c>
      <c r="D11" s="1" t="s">
        <v>56</v>
      </c>
      <c r="E11" s="1" t="s">
        <v>57</v>
      </c>
      <c r="F11" s="30" t="s">
        <v>114</v>
      </c>
      <c r="G11" s="30" t="s">
        <v>115</v>
      </c>
      <c r="H11" s="1" t="s">
        <v>8</v>
      </c>
    </row>
    <row r="12" spans="2:8" x14ac:dyDescent="0.35">
      <c r="B12" s="1" t="s">
        <v>88</v>
      </c>
      <c r="C12" s="1" t="s">
        <v>89</v>
      </c>
      <c r="D12" s="1" t="s">
        <v>56</v>
      </c>
      <c r="E12" s="1" t="s">
        <v>57</v>
      </c>
      <c r="F12" s="30" t="s">
        <v>104</v>
      </c>
      <c r="G12" s="30" t="s">
        <v>109</v>
      </c>
      <c r="H12" s="1" t="s">
        <v>12</v>
      </c>
    </row>
    <row r="13" spans="2:8" x14ac:dyDescent="0.35">
      <c r="B13" s="1" t="s">
        <v>73</v>
      </c>
      <c r="C13" s="1" t="s">
        <v>74</v>
      </c>
      <c r="D13" s="1" t="s">
        <v>56</v>
      </c>
      <c r="E13" s="1" t="s">
        <v>57</v>
      </c>
      <c r="F13" s="30" t="s">
        <v>107</v>
      </c>
      <c r="G13" s="30" t="s">
        <v>108</v>
      </c>
      <c r="H13" s="1" t="s">
        <v>3</v>
      </c>
    </row>
    <row r="14" spans="2:8" x14ac:dyDescent="0.35">
      <c r="B14" s="1" t="s">
        <v>54</v>
      </c>
      <c r="C14" s="1" t="s">
        <v>55</v>
      </c>
      <c r="D14" s="1" t="s">
        <v>56</v>
      </c>
      <c r="E14" s="1" t="s">
        <v>57</v>
      </c>
      <c r="F14" s="30" t="s">
        <v>102</v>
      </c>
      <c r="G14" s="30" t="s">
        <v>103</v>
      </c>
      <c r="H14" s="1" t="s">
        <v>4</v>
      </c>
    </row>
    <row r="15" spans="2:8" x14ac:dyDescent="0.35">
      <c r="B15" s="1" t="s">
        <v>75</v>
      </c>
      <c r="C15" s="1" t="s">
        <v>76</v>
      </c>
      <c r="D15" s="1" t="s">
        <v>56</v>
      </c>
      <c r="E15" s="1" t="s">
        <v>57</v>
      </c>
      <c r="F15" s="30" t="s">
        <v>104</v>
      </c>
      <c r="G15" s="30" t="s">
        <v>105</v>
      </c>
      <c r="H15" s="1" t="s">
        <v>2</v>
      </c>
    </row>
    <row r="16" spans="2:8" x14ac:dyDescent="0.35">
      <c r="B16" s="1" t="s">
        <v>58</v>
      </c>
      <c r="C16" s="1" t="s">
        <v>59</v>
      </c>
      <c r="D16" s="1" t="s">
        <v>56</v>
      </c>
      <c r="E16" s="1" t="s">
        <v>57</v>
      </c>
      <c r="F16" s="30" t="s">
        <v>111</v>
      </c>
      <c r="G16" s="30" t="s">
        <v>112</v>
      </c>
      <c r="H16" s="1" t="s">
        <v>5</v>
      </c>
    </row>
    <row r="17" spans="2:8" x14ac:dyDescent="0.35">
      <c r="B17" s="1" t="s">
        <v>96</v>
      </c>
      <c r="C17" s="1" t="s">
        <v>97</v>
      </c>
      <c r="D17" s="1" t="s">
        <v>56</v>
      </c>
      <c r="E17" s="1" t="s">
        <v>57</v>
      </c>
      <c r="F17" s="30" t="s">
        <v>107</v>
      </c>
      <c r="G17" s="30" t="s">
        <v>108</v>
      </c>
      <c r="H17" s="1" t="s">
        <v>5</v>
      </c>
    </row>
    <row r="18" spans="2:8" x14ac:dyDescent="0.35">
      <c r="B18" s="1" t="s">
        <v>61</v>
      </c>
      <c r="C18" s="1" t="s">
        <v>62</v>
      </c>
      <c r="D18" s="1" t="s">
        <v>56</v>
      </c>
      <c r="E18" s="1" t="s">
        <v>63</v>
      </c>
      <c r="F18" s="30" t="s">
        <v>104</v>
      </c>
      <c r="G18" s="30" t="s">
        <v>105</v>
      </c>
      <c r="H18" s="1" t="s">
        <v>7</v>
      </c>
    </row>
    <row r="19" spans="2:8" x14ac:dyDescent="0.35">
      <c r="B19" s="1" t="s">
        <v>98</v>
      </c>
      <c r="C19" s="1" t="s">
        <v>99</v>
      </c>
      <c r="D19" s="1" t="s">
        <v>56</v>
      </c>
      <c r="E19" s="1" t="s">
        <v>60</v>
      </c>
      <c r="F19" s="30" t="s">
        <v>116</v>
      </c>
      <c r="G19" s="30" t="s">
        <v>195</v>
      </c>
      <c r="H19" s="1" t="s">
        <v>68</v>
      </c>
    </row>
    <row r="20" spans="2:8" x14ac:dyDescent="0.35">
      <c r="B20" s="1" t="s">
        <v>98</v>
      </c>
      <c r="C20" s="1" t="s">
        <v>99</v>
      </c>
      <c r="D20" s="1" t="s">
        <v>56</v>
      </c>
      <c r="E20" s="1" t="s">
        <v>60</v>
      </c>
      <c r="F20" s="30" t="s">
        <v>116</v>
      </c>
      <c r="G20" s="30" t="s">
        <v>195</v>
      </c>
      <c r="H20" s="1" t="s">
        <v>68</v>
      </c>
    </row>
    <row r="21" spans="2:8" x14ac:dyDescent="0.35">
      <c r="B21" s="1" t="s">
        <v>98</v>
      </c>
      <c r="C21" s="1" t="s">
        <v>99</v>
      </c>
      <c r="D21" s="1" t="s">
        <v>56</v>
      </c>
      <c r="E21" s="1" t="s">
        <v>60</v>
      </c>
      <c r="F21" s="30" t="s">
        <v>116</v>
      </c>
      <c r="G21" s="30" t="s">
        <v>195</v>
      </c>
      <c r="H21" s="1" t="s">
        <v>68</v>
      </c>
    </row>
    <row r="22" spans="2:8" x14ac:dyDescent="0.35">
      <c r="B22" s="1" t="s">
        <v>100</v>
      </c>
      <c r="C22" s="1" t="s">
        <v>101</v>
      </c>
      <c r="D22" s="1" t="s">
        <v>56</v>
      </c>
      <c r="E22" s="1" t="s">
        <v>60</v>
      </c>
      <c r="F22" s="30" t="s">
        <v>116</v>
      </c>
      <c r="G22" s="30" t="s">
        <v>195</v>
      </c>
      <c r="H22" s="1" t="s">
        <v>68</v>
      </c>
    </row>
    <row r="23" spans="2:8" x14ac:dyDescent="0.35">
      <c r="B23" s="1" t="s">
        <v>100</v>
      </c>
      <c r="C23" s="1" t="s">
        <v>101</v>
      </c>
      <c r="D23" s="1" t="s">
        <v>56</v>
      </c>
      <c r="E23" s="1" t="s">
        <v>60</v>
      </c>
      <c r="F23" s="30" t="s">
        <v>116</v>
      </c>
      <c r="G23" s="30" t="s">
        <v>195</v>
      </c>
      <c r="H23" s="1" t="s">
        <v>68</v>
      </c>
    </row>
    <row r="24" spans="2:8" x14ac:dyDescent="0.35">
      <c r="B24" s="1" t="s">
        <v>100</v>
      </c>
      <c r="C24" s="1" t="s">
        <v>101</v>
      </c>
      <c r="D24" s="1" t="s">
        <v>56</v>
      </c>
      <c r="E24" s="1" t="s">
        <v>60</v>
      </c>
      <c r="F24" s="30" t="s">
        <v>116</v>
      </c>
      <c r="G24" s="30" t="s">
        <v>195</v>
      </c>
      <c r="H24" s="1" t="s">
        <v>68</v>
      </c>
    </row>
    <row r="25" spans="2:8" x14ac:dyDescent="0.35">
      <c r="B25" s="1" t="s">
        <v>100</v>
      </c>
      <c r="C25" s="1" t="s">
        <v>101</v>
      </c>
      <c r="D25" s="1" t="s">
        <v>56</v>
      </c>
      <c r="E25" s="1" t="s">
        <v>60</v>
      </c>
      <c r="F25" s="30" t="s">
        <v>116</v>
      </c>
      <c r="G25" s="30" t="s">
        <v>195</v>
      </c>
      <c r="H25" s="1" t="s">
        <v>68</v>
      </c>
    </row>
    <row r="26" spans="2:8" x14ac:dyDescent="0.35">
      <c r="B26" s="1" t="s">
        <v>94</v>
      </c>
      <c r="C26" s="1" t="s">
        <v>95</v>
      </c>
      <c r="D26" s="1" t="s">
        <v>56</v>
      </c>
      <c r="E26" s="1" t="s">
        <v>57</v>
      </c>
      <c r="F26" s="30" t="s">
        <v>104</v>
      </c>
      <c r="G26" s="30" t="s">
        <v>105</v>
      </c>
      <c r="H26" s="1" t="s">
        <v>5</v>
      </c>
    </row>
    <row r="27" spans="2:8" x14ac:dyDescent="0.35">
      <c r="B27" s="1" t="s">
        <v>92</v>
      </c>
      <c r="C27" s="1" t="s">
        <v>93</v>
      </c>
      <c r="D27" s="1" t="s">
        <v>56</v>
      </c>
      <c r="E27" s="1" t="s">
        <v>57</v>
      </c>
      <c r="F27" s="30" t="s">
        <v>104</v>
      </c>
      <c r="G27" s="30" t="s">
        <v>105</v>
      </c>
      <c r="H27" s="1" t="s">
        <v>5</v>
      </c>
    </row>
    <row r="28" spans="2:8" x14ac:dyDescent="0.35">
      <c r="B28" s="1" t="s">
        <v>81</v>
      </c>
      <c r="C28" s="1" t="s">
        <v>82</v>
      </c>
      <c r="D28" s="1" t="s">
        <v>56</v>
      </c>
      <c r="E28" s="1" t="s">
        <v>79</v>
      </c>
      <c r="F28" s="30" t="s">
        <v>114</v>
      </c>
      <c r="G28" s="30" t="s">
        <v>115</v>
      </c>
      <c r="H28" s="1" t="s">
        <v>80</v>
      </c>
    </row>
    <row r="29" spans="2:8" x14ac:dyDescent="0.35">
      <c r="B29" s="1" t="s">
        <v>77</v>
      </c>
      <c r="C29" s="1" t="s">
        <v>78</v>
      </c>
      <c r="D29" s="1" t="s">
        <v>56</v>
      </c>
      <c r="E29" s="1" t="s">
        <v>79</v>
      </c>
      <c r="F29" s="30" t="s">
        <v>106</v>
      </c>
      <c r="G29" s="30" t="s">
        <v>113</v>
      </c>
      <c r="H29" s="1" t="s">
        <v>80</v>
      </c>
    </row>
    <row r="30" spans="2:8" x14ac:dyDescent="0.35">
      <c r="B30" s="1" t="s">
        <v>83</v>
      </c>
      <c r="C30" s="1" t="s">
        <v>84</v>
      </c>
      <c r="D30" s="1" t="s">
        <v>56</v>
      </c>
      <c r="E30" s="1" t="s">
        <v>85</v>
      </c>
      <c r="F30" s="30" t="s">
        <v>114</v>
      </c>
      <c r="G30" s="30" t="s">
        <v>115</v>
      </c>
      <c r="H30" s="1" t="s">
        <v>80</v>
      </c>
    </row>
    <row r="31" spans="2:8" x14ac:dyDescent="0.35">
      <c r="B31" s="1" t="s">
        <v>66</v>
      </c>
      <c r="C31" s="1" t="s">
        <v>67</v>
      </c>
      <c r="D31" s="1" t="s">
        <v>56</v>
      </c>
      <c r="E31" s="1" t="s">
        <v>60</v>
      </c>
      <c r="F31" s="30" t="s">
        <v>106</v>
      </c>
      <c r="G31" s="30" t="s">
        <v>113</v>
      </c>
      <c r="H31" s="1" t="s">
        <v>68</v>
      </c>
    </row>
    <row r="32" spans="2:8" x14ac:dyDescent="0.35">
      <c r="B32" s="1" t="s">
        <v>69</v>
      </c>
      <c r="C32" s="1" t="s">
        <v>70</v>
      </c>
      <c r="D32" s="1" t="s">
        <v>56</v>
      </c>
      <c r="E32" s="1" t="s">
        <v>60</v>
      </c>
      <c r="F32" s="30" t="s">
        <v>107</v>
      </c>
      <c r="G32" s="30" t="s">
        <v>108</v>
      </c>
      <c r="H32" s="1" t="s">
        <v>8</v>
      </c>
    </row>
    <row r="33" spans="1:8" x14ac:dyDescent="0.35">
      <c r="B33" s="1"/>
      <c r="C33" s="1"/>
      <c r="D33" s="1"/>
      <c r="E33" s="1"/>
      <c r="F33" s="29"/>
      <c r="G33" s="5"/>
      <c r="H33" s="1"/>
    </row>
    <row r="34" spans="1:8" x14ac:dyDescent="0.35">
      <c r="B34" s="1"/>
      <c r="C34" s="1"/>
      <c r="D34" s="1"/>
      <c r="E34" s="1"/>
      <c r="F34" s="5"/>
      <c r="G34" s="5"/>
      <c r="H34" s="1"/>
    </row>
    <row r="35" spans="1:8" x14ac:dyDescent="0.35">
      <c r="A35" s="4"/>
      <c r="B35" s="4"/>
      <c r="C35" s="4"/>
      <c r="D35" s="4"/>
      <c r="E35" s="4"/>
      <c r="F35" s="4"/>
    </row>
    <row r="36" spans="1:8" x14ac:dyDescent="0.35">
      <c r="A36" s="4"/>
      <c r="B36" s="4"/>
      <c r="C36" s="4"/>
      <c r="D36" s="4"/>
      <c r="E36" s="4"/>
      <c r="F36" s="4"/>
    </row>
    <row r="37" spans="1:8" x14ac:dyDescent="0.35">
      <c r="A37" s="4"/>
      <c r="B37" s="4"/>
      <c r="C37" s="4"/>
      <c r="D37" s="4"/>
      <c r="E37" s="4"/>
      <c r="F37" s="4"/>
    </row>
    <row r="38" spans="1:8" x14ac:dyDescent="0.35">
      <c r="A38" s="4"/>
      <c r="B38" s="4"/>
      <c r="C38" s="4"/>
      <c r="D38" s="4"/>
      <c r="E38" s="4"/>
      <c r="F38" s="4"/>
    </row>
    <row r="39" spans="1:8" x14ac:dyDescent="0.35">
      <c r="A39" s="4"/>
      <c r="B39" s="4"/>
      <c r="C39" s="4"/>
      <c r="D39" s="4"/>
      <c r="E39" s="4"/>
      <c r="F39" s="4"/>
    </row>
    <row r="40" spans="1:8" x14ac:dyDescent="0.35">
      <c r="A40" s="4"/>
      <c r="B40" s="4"/>
      <c r="C40" s="4"/>
      <c r="D40" s="4"/>
      <c r="E40" s="4"/>
      <c r="F40" s="4"/>
    </row>
    <row r="41" spans="1:8" x14ac:dyDescent="0.35">
      <c r="A41" s="4"/>
      <c r="B41" s="4"/>
      <c r="C41" s="4"/>
      <c r="D41" s="4"/>
      <c r="E41" s="4"/>
      <c r="F41" s="4"/>
    </row>
    <row r="42" spans="1:8" x14ac:dyDescent="0.35">
      <c r="A42" s="4"/>
      <c r="B42" s="4"/>
      <c r="C42" s="4"/>
      <c r="D42" s="4"/>
      <c r="E42" s="4"/>
      <c r="F42" s="4"/>
    </row>
    <row r="43" spans="1:8" x14ac:dyDescent="0.35">
      <c r="A43" s="4"/>
      <c r="B43" s="4"/>
      <c r="C43" s="4"/>
      <c r="D43" s="4"/>
      <c r="E43" s="4"/>
      <c r="F43" s="4"/>
    </row>
    <row r="44" spans="1:8" x14ac:dyDescent="0.35">
      <c r="A44" s="4"/>
      <c r="B44" s="4"/>
      <c r="C44" s="4"/>
      <c r="D44" s="4"/>
      <c r="E44" s="4"/>
      <c r="F44" s="4"/>
    </row>
    <row r="45" spans="1:8" x14ac:dyDescent="0.35">
      <c r="A45" s="4"/>
      <c r="B45" s="4"/>
      <c r="C45" s="4"/>
      <c r="D45" s="4"/>
      <c r="E45" s="4"/>
      <c r="F45" s="4"/>
    </row>
    <row r="46" spans="1:8" x14ac:dyDescent="0.35">
      <c r="A46" s="4"/>
      <c r="B46" s="4"/>
      <c r="C46" s="4"/>
      <c r="D46" s="4"/>
      <c r="E46" s="4"/>
      <c r="F46" s="4"/>
    </row>
    <row r="47" spans="1:8" x14ac:dyDescent="0.35">
      <c r="A47" s="4"/>
      <c r="B47" s="4"/>
      <c r="C47" s="4"/>
      <c r="D47" s="4"/>
      <c r="E47" s="4"/>
      <c r="F47" s="4"/>
    </row>
    <row r="48" spans="1:8" x14ac:dyDescent="0.35">
      <c r="A48" s="4"/>
      <c r="B48" s="4"/>
      <c r="C48" s="4"/>
      <c r="D48" s="4"/>
      <c r="E48" s="4"/>
      <c r="F48" s="4"/>
    </row>
  </sheetData>
  <mergeCells count="1">
    <mergeCell ref="B6:H6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57"/>
  <sheetViews>
    <sheetView showGridLines="0" workbookViewId="0"/>
  </sheetViews>
  <sheetFormatPr defaultRowHeight="14.5" x14ac:dyDescent="0.35"/>
  <cols>
    <col min="2" max="2" width="8.7265625" customWidth="1"/>
    <col min="4" max="4" width="6.08984375" customWidth="1"/>
    <col min="5" max="5" width="80.7265625" customWidth="1"/>
    <col min="6" max="6" width="8.7265625" customWidth="1"/>
    <col min="7" max="7" width="12.81640625" customWidth="1"/>
    <col min="8" max="8" width="18.90625" bestFit="1" customWidth="1"/>
    <col min="12" max="12" width="15.36328125" customWidth="1"/>
  </cols>
  <sheetData>
    <row r="1" spans="2:12" s="36" customFormat="1" x14ac:dyDescent="0.35"/>
    <row r="2" spans="2:12" s="36" customFormat="1" x14ac:dyDescent="0.35"/>
    <row r="3" spans="2:12" s="36" customFormat="1" x14ac:dyDescent="0.35"/>
    <row r="4" spans="2:12" s="36" customFormat="1" x14ac:dyDescent="0.35"/>
    <row r="5" spans="2:12" ht="15" thickBot="1" x14ac:dyDescent="0.4"/>
    <row r="6" spans="2:12" x14ac:dyDescent="0.35">
      <c r="B6" s="6"/>
      <c r="C6" s="7"/>
      <c r="D6" s="7"/>
      <c r="E6" s="8"/>
      <c r="F6" s="10"/>
      <c r="G6" s="10"/>
      <c r="H6" s="10"/>
      <c r="I6" s="10"/>
      <c r="J6" s="10"/>
      <c r="K6" s="10"/>
      <c r="L6" s="10"/>
    </row>
    <row r="7" spans="2:12" x14ac:dyDescent="0.35">
      <c r="B7" s="9"/>
      <c r="C7" s="10"/>
      <c r="D7" s="10"/>
      <c r="E7" s="34" t="s">
        <v>237</v>
      </c>
      <c r="F7" s="10"/>
      <c r="G7" s="10"/>
      <c r="H7" s="10"/>
      <c r="I7" s="10"/>
      <c r="J7" s="10"/>
      <c r="K7" s="10"/>
      <c r="L7" s="10"/>
    </row>
    <row r="8" spans="2:12" x14ac:dyDescent="0.35">
      <c r="B8" s="9"/>
      <c r="C8" s="10"/>
      <c r="D8" s="10"/>
      <c r="E8" s="34"/>
      <c r="F8" s="10"/>
      <c r="G8" s="10"/>
      <c r="H8" s="10"/>
      <c r="I8" s="10"/>
      <c r="J8" s="10"/>
      <c r="K8" s="10"/>
      <c r="L8" s="10"/>
    </row>
    <row r="9" spans="2:12" x14ac:dyDescent="0.35">
      <c r="B9" s="9"/>
      <c r="C9" s="10"/>
      <c r="D9" s="10"/>
      <c r="E9" s="35"/>
      <c r="F9" s="10"/>
      <c r="G9" s="10"/>
      <c r="H9" s="10"/>
      <c r="I9" s="10"/>
      <c r="J9" s="10"/>
      <c r="K9" s="10"/>
      <c r="L9" s="10"/>
    </row>
    <row r="10" spans="2:12" x14ac:dyDescent="0.35">
      <c r="B10" s="9"/>
      <c r="C10" s="10"/>
      <c r="D10" s="10"/>
      <c r="E10" s="35"/>
      <c r="F10" s="10"/>
      <c r="G10" s="10"/>
      <c r="H10" s="10"/>
      <c r="I10" s="10"/>
      <c r="J10" s="10"/>
      <c r="K10" s="10"/>
      <c r="L10" s="10"/>
    </row>
    <row r="11" spans="2:12" x14ac:dyDescent="0.35">
      <c r="B11" s="9"/>
      <c r="C11" s="10"/>
      <c r="D11" s="10"/>
      <c r="E11" s="35"/>
      <c r="F11" s="10"/>
      <c r="G11" s="10"/>
      <c r="H11" s="10"/>
      <c r="I11" s="10"/>
      <c r="J11" s="10"/>
      <c r="K11" s="10"/>
      <c r="L11" s="10"/>
    </row>
    <row r="12" spans="2:12" x14ac:dyDescent="0.35">
      <c r="B12" s="9"/>
      <c r="C12" s="10"/>
      <c r="D12" s="10"/>
      <c r="E12" s="34" t="s">
        <v>236</v>
      </c>
      <c r="F12" s="10"/>
      <c r="G12" s="10"/>
      <c r="H12" s="10"/>
      <c r="I12" s="10"/>
      <c r="J12" s="10"/>
      <c r="K12" s="10"/>
      <c r="L12" s="10"/>
    </row>
    <row r="13" spans="2:12" x14ac:dyDescent="0.35">
      <c r="B13" s="9"/>
      <c r="C13" s="10"/>
      <c r="D13" s="10"/>
      <c r="E13" s="35"/>
      <c r="F13" s="10"/>
      <c r="G13" s="10"/>
      <c r="H13" s="24"/>
      <c r="I13" s="25"/>
      <c r="J13" s="10"/>
      <c r="K13" s="10"/>
      <c r="L13" s="10"/>
    </row>
    <row r="14" spans="2:12" x14ac:dyDescent="0.35">
      <c r="B14" s="9"/>
      <c r="C14" s="10"/>
      <c r="D14" s="10"/>
      <c r="E14" s="35"/>
      <c r="F14" s="10"/>
      <c r="G14" s="10"/>
      <c r="H14" s="25"/>
      <c r="I14" s="25"/>
      <c r="J14" s="10"/>
      <c r="K14" s="10"/>
      <c r="L14" s="10"/>
    </row>
    <row r="15" spans="2:12" x14ac:dyDescent="0.35">
      <c r="B15" s="9"/>
      <c r="C15" s="10"/>
      <c r="D15" s="10"/>
      <c r="E15" s="35"/>
      <c r="F15" s="10"/>
      <c r="G15" s="10"/>
      <c r="H15" s="25"/>
      <c r="I15" s="25"/>
      <c r="J15" s="10"/>
      <c r="K15" s="10"/>
      <c r="L15" s="10"/>
    </row>
    <row r="16" spans="2:12" x14ac:dyDescent="0.35">
      <c r="B16" s="9"/>
      <c r="C16" s="10"/>
      <c r="D16" s="10"/>
      <c r="E16" s="34" t="s">
        <v>235</v>
      </c>
      <c r="F16" s="10"/>
      <c r="G16" s="10"/>
      <c r="H16" s="10"/>
      <c r="I16" s="25"/>
      <c r="J16" s="10"/>
      <c r="K16" s="10"/>
      <c r="L16" s="10"/>
    </row>
    <row r="17" spans="2:12" ht="15" thickBot="1" x14ac:dyDescent="0.4">
      <c r="B17" s="11"/>
      <c r="C17" s="12"/>
      <c r="D17" s="12"/>
      <c r="E17" s="13"/>
      <c r="F17" s="10"/>
      <c r="G17" s="10"/>
      <c r="H17" s="25"/>
      <c r="I17" s="25"/>
      <c r="J17" s="10"/>
      <c r="K17" s="10"/>
      <c r="L17" s="10"/>
    </row>
    <row r="18" spans="2:12" x14ac:dyDescent="0.35">
      <c r="E18" s="10"/>
      <c r="F18" s="10"/>
      <c r="G18" s="10"/>
      <c r="H18" s="25"/>
      <c r="I18" s="25"/>
      <c r="J18" s="10"/>
      <c r="K18" s="10"/>
      <c r="L18" s="10"/>
    </row>
    <row r="19" spans="2:12" x14ac:dyDescent="0.35">
      <c r="E19" s="10"/>
      <c r="F19" s="10"/>
      <c r="G19" s="10"/>
      <c r="H19" s="26"/>
      <c r="I19" s="25"/>
      <c r="J19" s="10"/>
      <c r="K19" s="10"/>
      <c r="L19" s="10"/>
    </row>
    <row r="20" spans="2:12" x14ac:dyDescent="0.35">
      <c r="D20" s="56"/>
      <c r="E20" s="40" t="s">
        <v>229</v>
      </c>
      <c r="F20" s="56"/>
      <c r="G20" s="31"/>
      <c r="H20" s="32"/>
      <c r="I20" s="32"/>
      <c r="J20" s="31"/>
      <c r="K20" s="31"/>
      <c r="L20" s="31"/>
    </row>
    <row r="21" spans="2:12" x14ac:dyDescent="0.35">
      <c r="D21" s="31"/>
      <c r="E21" s="31" t="s">
        <v>298</v>
      </c>
      <c r="F21" s="31"/>
      <c r="G21" s="10"/>
      <c r="H21" s="25"/>
      <c r="I21" s="25"/>
      <c r="J21" s="10"/>
      <c r="K21" s="10"/>
      <c r="L21" s="10"/>
    </row>
    <row r="22" spans="2:12" x14ac:dyDescent="0.35">
      <c r="D22" s="31"/>
      <c r="E22" s="31" t="s">
        <v>299</v>
      </c>
      <c r="F22" s="31"/>
      <c r="G22" s="10"/>
      <c r="H22" s="25"/>
      <c r="I22" s="25"/>
      <c r="J22" s="10"/>
      <c r="K22" s="10"/>
      <c r="L22" s="10"/>
    </row>
    <row r="23" spans="2:12" x14ac:dyDescent="0.35">
      <c r="D23" s="31"/>
      <c r="E23" s="31" t="s">
        <v>300</v>
      </c>
      <c r="F23" s="31"/>
      <c r="G23" s="10"/>
      <c r="H23" s="25"/>
      <c r="I23" s="25"/>
      <c r="J23" s="10"/>
      <c r="K23" s="10"/>
      <c r="L23" s="10"/>
    </row>
    <row r="24" spans="2:12" x14ac:dyDescent="0.35">
      <c r="D24" s="31"/>
      <c r="E24" s="31" t="s">
        <v>301</v>
      </c>
      <c r="F24" s="31"/>
      <c r="G24" s="10"/>
      <c r="H24" s="25"/>
      <c r="I24" s="25"/>
      <c r="J24" s="10"/>
      <c r="K24" s="10"/>
      <c r="L24" s="10"/>
    </row>
    <row r="25" spans="2:12" x14ac:dyDescent="0.35">
      <c r="D25" s="31"/>
      <c r="E25" s="31" t="s">
        <v>302</v>
      </c>
      <c r="F25" s="31"/>
      <c r="G25" s="10"/>
      <c r="H25" s="25"/>
      <c r="I25" s="25"/>
      <c r="J25" s="10"/>
      <c r="K25" s="10"/>
      <c r="L25" s="10"/>
    </row>
    <row r="26" spans="2:12" x14ac:dyDescent="0.35">
      <c r="D26" s="31"/>
      <c r="E26" s="31" t="s">
        <v>305</v>
      </c>
      <c r="F26" s="31"/>
      <c r="G26" s="10"/>
      <c r="H26" s="25"/>
      <c r="I26" s="25"/>
      <c r="J26" s="10"/>
      <c r="K26" s="10"/>
      <c r="L26" s="10"/>
    </row>
    <row r="27" spans="2:12" x14ac:dyDescent="0.35">
      <c r="D27" s="31"/>
      <c r="E27" s="31" t="s">
        <v>306</v>
      </c>
      <c r="F27" s="31"/>
      <c r="G27" s="10"/>
      <c r="H27" s="25"/>
      <c r="I27" s="25"/>
      <c r="J27" s="10"/>
      <c r="K27" s="10"/>
      <c r="L27" s="10"/>
    </row>
    <row r="28" spans="2:12" x14ac:dyDescent="0.35">
      <c r="D28" s="31"/>
      <c r="E28" s="31" t="s">
        <v>307</v>
      </c>
      <c r="F28" s="31"/>
      <c r="G28" s="10"/>
      <c r="H28" s="25"/>
      <c r="I28" s="25"/>
      <c r="J28" s="10"/>
      <c r="K28" s="10"/>
      <c r="L28" s="10"/>
    </row>
    <row r="29" spans="2:12" x14ac:dyDescent="0.35">
      <c r="D29" s="31"/>
      <c r="E29" s="31" t="s">
        <v>308</v>
      </c>
      <c r="F29" s="31"/>
      <c r="G29" s="10"/>
      <c r="H29" s="25"/>
      <c r="I29" s="25"/>
      <c r="J29" s="10"/>
      <c r="K29" s="10"/>
      <c r="L29" s="10"/>
    </row>
    <row r="30" spans="2:12" x14ac:dyDescent="0.35">
      <c r="D30" s="31"/>
      <c r="E30" s="31" t="s">
        <v>309</v>
      </c>
      <c r="F30" s="31"/>
      <c r="G30" s="10"/>
      <c r="H30" s="25"/>
      <c r="I30" s="25"/>
      <c r="J30" s="10"/>
      <c r="K30" s="10"/>
      <c r="L30" s="10"/>
    </row>
    <row r="31" spans="2:12" x14ac:dyDescent="0.35">
      <c r="D31" s="31"/>
      <c r="E31" s="31" t="s">
        <v>303</v>
      </c>
      <c r="F31" s="31"/>
      <c r="G31" s="10"/>
      <c r="H31" s="25"/>
      <c r="I31" s="25"/>
      <c r="J31" s="10"/>
      <c r="K31" s="10"/>
      <c r="L31" s="10"/>
    </row>
    <row r="32" spans="2:12" x14ac:dyDescent="0.35">
      <c r="D32" s="31"/>
      <c r="E32" s="31" t="s">
        <v>310</v>
      </c>
      <c r="F32" s="31"/>
      <c r="G32" s="10"/>
      <c r="H32" s="25"/>
      <c r="I32" s="25"/>
      <c r="J32" s="10"/>
      <c r="K32" s="10"/>
      <c r="L32" s="10"/>
    </row>
    <row r="33" spans="4:12" x14ac:dyDescent="0.35">
      <c r="D33" s="31"/>
      <c r="E33" s="31" t="s">
        <v>304</v>
      </c>
      <c r="F33" s="31"/>
      <c r="G33" s="10"/>
      <c r="H33" s="25"/>
      <c r="I33" s="25"/>
      <c r="J33" s="10"/>
      <c r="K33" s="10"/>
      <c r="L33" s="10"/>
    </row>
    <row r="34" spans="4:12" x14ac:dyDescent="0.35">
      <c r="D34" s="31"/>
      <c r="E34" s="31" t="s">
        <v>311</v>
      </c>
      <c r="F34" s="31"/>
      <c r="H34" s="27"/>
      <c r="I34" s="27"/>
    </row>
    <row r="35" spans="4:12" x14ac:dyDescent="0.35">
      <c r="D35" s="31"/>
      <c r="E35" s="31"/>
      <c r="F35" s="31"/>
      <c r="H35" s="27"/>
      <c r="I35" s="27"/>
    </row>
    <row r="36" spans="4:12" x14ac:dyDescent="0.35">
      <c r="D36" s="31"/>
      <c r="E36" s="31"/>
      <c r="F36" s="31"/>
      <c r="H36" s="27"/>
      <c r="I36" s="27"/>
    </row>
    <row r="37" spans="4:12" x14ac:dyDescent="0.35">
      <c r="E37" s="31"/>
      <c r="H37" s="27"/>
      <c r="I37" s="27"/>
    </row>
    <row r="38" spans="4:12" x14ac:dyDescent="0.35">
      <c r="E38" s="31"/>
      <c r="H38" s="27"/>
      <c r="I38" s="27"/>
    </row>
    <row r="39" spans="4:12" x14ac:dyDescent="0.35">
      <c r="E39" s="31"/>
    </row>
    <row r="40" spans="4:12" x14ac:dyDescent="0.35">
      <c r="E40" s="31"/>
    </row>
    <row r="41" spans="4:12" x14ac:dyDescent="0.35">
      <c r="E41" s="31"/>
    </row>
    <row r="42" spans="4:12" x14ac:dyDescent="0.35">
      <c r="E42" s="31"/>
    </row>
    <row r="43" spans="4:12" x14ac:dyDescent="0.35">
      <c r="E43" s="31"/>
    </row>
    <row r="44" spans="4:12" x14ac:dyDescent="0.35">
      <c r="E44" s="31"/>
    </row>
    <row r="45" spans="4:12" x14ac:dyDescent="0.35">
      <c r="E45" s="31"/>
    </row>
    <row r="46" spans="4:12" x14ac:dyDescent="0.35">
      <c r="E46" s="31"/>
    </row>
    <row r="47" spans="4:12" x14ac:dyDescent="0.35">
      <c r="E47" s="31"/>
    </row>
    <row r="48" spans="4:12" x14ac:dyDescent="0.35">
      <c r="E48" s="31"/>
    </row>
    <row r="49" spans="5:5" x14ac:dyDescent="0.35">
      <c r="E49" s="31"/>
    </row>
    <row r="50" spans="5:5" x14ac:dyDescent="0.35">
      <c r="E50" s="31"/>
    </row>
    <row r="51" spans="5:5" x14ac:dyDescent="0.35">
      <c r="E51" s="31"/>
    </row>
    <row r="52" spans="5:5" x14ac:dyDescent="0.35">
      <c r="E52" s="31"/>
    </row>
    <row r="53" spans="5:5" x14ac:dyDescent="0.35">
      <c r="E53" s="31"/>
    </row>
    <row r="54" spans="5:5" x14ac:dyDescent="0.35">
      <c r="E54" s="31"/>
    </row>
    <row r="55" spans="5:5" x14ac:dyDescent="0.35">
      <c r="E55" s="31"/>
    </row>
    <row r="56" spans="5:5" x14ac:dyDescent="0.35">
      <c r="E56" s="31"/>
    </row>
    <row r="57" spans="5:5" ht="15" thickBot="1" x14ac:dyDescent="0.4">
      <c r="E57" s="3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_Full_Algorithm">
                <anchor>
                  <from>
                    <xdr:col>1</xdr:col>
                    <xdr:colOff>114300</xdr:colOff>
                    <xdr:row>9</xdr:row>
                    <xdr:rowOff>139700</xdr:rowOff>
                  </from>
                  <to>
                    <xdr:col>3</xdr:col>
                    <xdr:colOff>349250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Import_All_Data">
                <anchor>
                  <from>
                    <xdr:col>1</xdr:col>
                    <xdr:colOff>114300</xdr:colOff>
                    <xdr:row>13</xdr:row>
                    <xdr:rowOff>69850</xdr:rowOff>
                  </from>
                  <to>
                    <xdr:col>3</xdr:col>
                    <xdr:colOff>349250</xdr:colOff>
                    <xdr:row>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check_advisor_data">
                <anchor>
                  <from>
                    <xdr:col>1</xdr:col>
                    <xdr:colOff>114300</xdr:colOff>
                    <xdr:row>5</xdr:row>
                    <xdr:rowOff>139700</xdr:rowOff>
                  </from>
                  <to>
                    <xdr:col>3</xdr:col>
                    <xdr:colOff>349250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E59"/>
  <sheetViews>
    <sheetView showGridLines="0" workbookViewId="0"/>
  </sheetViews>
  <sheetFormatPr defaultRowHeight="14.5" x14ac:dyDescent="0.35"/>
  <cols>
    <col min="1" max="1" width="18.90625" bestFit="1" customWidth="1"/>
  </cols>
  <sheetData>
    <row r="1" spans="1:5" s="36" customFormat="1" x14ac:dyDescent="0.35"/>
    <row r="2" spans="1:5" s="36" customFormat="1" x14ac:dyDescent="0.35"/>
    <row r="3" spans="1:5" s="36" customFormat="1" x14ac:dyDescent="0.35"/>
    <row r="4" spans="1:5" s="36" customFormat="1" x14ac:dyDescent="0.35"/>
    <row r="6" spans="1:5" ht="15" thickBot="1" x14ac:dyDescent="0.4">
      <c r="A6" s="15" t="s">
        <v>197</v>
      </c>
      <c r="B6" s="10"/>
      <c r="C6" s="10"/>
      <c r="D6" s="10"/>
      <c r="E6" s="10"/>
    </row>
    <row r="7" spans="1:5" x14ac:dyDescent="0.35">
      <c r="A7" s="16">
        <v>10001</v>
      </c>
      <c r="B7" s="10"/>
      <c r="C7" s="42" t="s">
        <v>198</v>
      </c>
      <c r="D7" s="43"/>
      <c r="E7" s="44"/>
    </row>
    <row r="8" spans="1:5" ht="15" thickBot="1" x14ac:dyDescent="0.4">
      <c r="A8" s="16">
        <v>10002</v>
      </c>
      <c r="B8" s="10"/>
      <c r="C8" s="45"/>
      <c r="D8" s="46"/>
      <c r="E8" s="47"/>
    </row>
    <row r="9" spans="1:5" ht="15" thickBot="1" x14ac:dyDescent="0.4">
      <c r="A9" s="16">
        <f t="shared" ref="A9:A15" si="0">A8+1</f>
        <v>10003</v>
      </c>
      <c r="B9" s="10"/>
      <c r="C9" s="10"/>
      <c r="D9" s="10"/>
      <c r="E9" s="10"/>
    </row>
    <row r="10" spans="1:5" x14ac:dyDescent="0.35">
      <c r="A10" s="16">
        <f t="shared" si="0"/>
        <v>10004</v>
      </c>
      <c r="B10" s="10"/>
      <c r="C10" s="42" t="s">
        <v>199</v>
      </c>
      <c r="D10" s="43"/>
      <c r="E10" s="44"/>
    </row>
    <row r="11" spans="1:5" x14ac:dyDescent="0.35">
      <c r="A11" s="16">
        <f t="shared" si="0"/>
        <v>10005</v>
      </c>
      <c r="B11" s="10"/>
      <c r="C11" s="48"/>
      <c r="D11" s="49"/>
      <c r="E11" s="50"/>
    </row>
    <row r="12" spans="1:5" ht="15" thickBot="1" x14ac:dyDescent="0.4">
      <c r="A12" s="16">
        <f t="shared" si="0"/>
        <v>10006</v>
      </c>
      <c r="B12" s="10"/>
      <c r="C12" s="45"/>
      <c r="D12" s="46"/>
      <c r="E12" s="47"/>
    </row>
    <row r="13" spans="1:5" x14ac:dyDescent="0.35">
      <c r="A13" s="16">
        <f t="shared" si="0"/>
        <v>10007</v>
      </c>
      <c r="B13" s="10"/>
      <c r="C13" s="10"/>
      <c r="D13" s="10"/>
      <c r="E13" s="10"/>
    </row>
    <row r="14" spans="1:5" x14ac:dyDescent="0.35">
      <c r="A14" s="16">
        <f t="shared" si="0"/>
        <v>10008</v>
      </c>
    </row>
    <row r="15" spans="1:5" x14ac:dyDescent="0.35">
      <c r="A15" s="16">
        <f t="shared" si="0"/>
        <v>10009</v>
      </c>
    </row>
    <row r="16" spans="1:5" x14ac:dyDescent="0.35">
      <c r="A16" s="16"/>
    </row>
    <row r="17" spans="1:1" x14ac:dyDescent="0.35">
      <c r="A17" s="16"/>
    </row>
    <row r="18" spans="1:1" x14ac:dyDescent="0.35">
      <c r="A18" s="16"/>
    </row>
    <row r="19" spans="1:1" x14ac:dyDescent="0.35">
      <c r="A19" s="16"/>
    </row>
    <row r="20" spans="1:1" x14ac:dyDescent="0.35">
      <c r="A20" s="16"/>
    </row>
    <row r="21" spans="1:1" x14ac:dyDescent="0.35">
      <c r="A21" s="16"/>
    </row>
    <row r="22" spans="1:1" x14ac:dyDescent="0.35">
      <c r="A22" s="16"/>
    </row>
    <row r="23" spans="1:1" x14ac:dyDescent="0.35">
      <c r="A23" s="16"/>
    </row>
    <row r="24" spans="1:1" x14ac:dyDescent="0.35">
      <c r="A24" s="16"/>
    </row>
    <row r="25" spans="1:1" x14ac:dyDescent="0.35">
      <c r="A25" s="16"/>
    </row>
    <row r="26" spans="1:1" x14ac:dyDescent="0.35">
      <c r="A26" s="16"/>
    </row>
    <row r="27" spans="1:1" x14ac:dyDescent="0.35">
      <c r="A27" s="16"/>
    </row>
    <row r="28" spans="1:1" x14ac:dyDescent="0.35">
      <c r="A28" s="16"/>
    </row>
    <row r="29" spans="1:1" x14ac:dyDescent="0.35">
      <c r="A29" s="16"/>
    </row>
    <row r="30" spans="1:1" x14ac:dyDescent="0.35">
      <c r="A30" s="16"/>
    </row>
    <row r="31" spans="1:1" x14ac:dyDescent="0.35">
      <c r="A31" s="16"/>
    </row>
    <row r="32" spans="1:1" x14ac:dyDescent="0.35">
      <c r="A32" s="16"/>
    </row>
    <row r="33" spans="1:1" x14ac:dyDescent="0.35">
      <c r="A33" s="16"/>
    </row>
    <row r="34" spans="1:1" x14ac:dyDescent="0.35">
      <c r="A34" s="16"/>
    </row>
    <row r="35" spans="1:1" x14ac:dyDescent="0.35">
      <c r="A35" s="16"/>
    </row>
    <row r="36" spans="1:1" x14ac:dyDescent="0.35">
      <c r="A36" s="16"/>
    </row>
    <row r="37" spans="1:1" x14ac:dyDescent="0.35">
      <c r="A37" s="16"/>
    </row>
    <row r="38" spans="1:1" x14ac:dyDescent="0.35">
      <c r="A38" s="16"/>
    </row>
    <row r="39" spans="1:1" x14ac:dyDescent="0.35">
      <c r="A39" s="16"/>
    </row>
    <row r="40" spans="1:1" x14ac:dyDescent="0.35">
      <c r="A40" s="16"/>
    </row>
    <row r="41" spans="1:1" x14ac:dyDescent="0.35">
      <c r="A41" s="16"/>
    </row>
    <row r="42" spans="1:1" x14ac:dyDescent="0.35">
      <c r="A42" s="16"/>
    </row>
    <row r="43" spans="1:1" x14ac:dyDescent="0.35">
      <c r="A43" s="16"/>
    </row>
    <row r="44" spans="1:1" x14ac:dyDescent="0.35">
      <c r="A44" s="16"/>
    </row>
    <row r="45" spans="1:1" x14ac:dyDescent="0.35">
      <c r="A45" s="16"/>
    </row>
    <row r="46" spans="1:1" x14ac:dyDescent="0.35">
      <c r="A46" s="16"/>
    </row>
    <row r="47" spans="1:1" x14ac:dyDescent="0.35">
      <c r="A47" s="16"/>
    </row>
    <row r="48" spans="1:1" x14ac:dyDescent="0.35">
      <c r="A48" s="16"/>
    </row>
    <row r="49" spans="1:1" x14ac:dyDescent="0.35">
      <c r="A49" s="16"/>
    </row>
    <row r="50" spans="1:1" x14ac:dyDescent="0.35">
      <c r="A50" s="16"/>
    </row>
    <row r="51" spans="1:1" x14ac:dyDescent="0.35">
      <c r="A51" s="16"/>
    </row>
    <row r="52" spans="1:1" x14ac:dyDescent="0.35">
      <c r="A52" s="16"/>
    </row>
    <row r="53" spans="1:1" x14ac:dyDescent="0.35">
      <c r="A53" s="16"/>
    </row>
    <row r="54" spans="1:1" x14ac:dyDescent="0.35">
      <c r="A54" s="16"/>
    </row>
    <row r="55" spans="1:1" x14ac:dyDescent="0.35">
      <c r="A55" s="16"/>
    </row>
    <row r="56" spans="1:1" x14ac:dyDescent="0.35">
      <c r="A56" s="16"/>
    </row>
    <row r="57" spans="1:1" x14ac:dyDescent="0.35">
      <c r="A57" s="16"/>
    </row>
    <row r="58" spans="1:1" x14ac:dyDescent="0.35">
      <c r="A58" s="16"/>
    </row>
    <row r="59" spans="1:1" x14ac:dyDescent="0.35">
      <c r="A59" s="16"/>
    </row>
  </sheetData>
  <mergeCells count="2">
    <mergeCell ref="C7:E8"/>
    <mergeCell ref="C10:E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Add_Student_to_Section">
                <anchor moveWithCells="1" sizeWithCells="1">
                  <from>
                    <xdr:col>6</xdr:col>
                    <xdr:colOff>184150</xdr:colOff>
                    <xdr:row>6</xdr:row>
                    <xdr:rowOff>158750</xdr:rowOff>
                  </from>
                  <to>
                    <xdr:col>8</xdr:col>
                    <xdr:colOff>482600</xdr:colOff>
                    <xdr:row>9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793"/>
  <sheetViews>
    <sheetView topLeftCell="A789" workbookViewId="0">
      <selection activeCell="B794" sqref="A794:B811"/>
    </sheetView>
  </sheetViews>
  <sheetFormatPr defaultRowHeight="14.5" x14ac:dyDescent="0.35"/>
  <cols>
    <col min="1" max="1" width="7.26953125" customWidth="1"/>
    <col min="2" max="2" width="7.08984375" customWidth="1"/>
    <col min="3" max="3" width="16.7265625" customWidth="1"/>
    <col min="4" max="4" width="6.54296875" customWidth="1"/>
    <col min="5" max="5" width="7" customWidth="1"/>
    <col min="6" max="6" width="4.90625" customWidth="1"/>
    <col min="7" max="7" width="7.81640625" customWidth="1"/>
    <col min="8" max="8" width="10.453125" customWidth="1"/>
    <col min="9" max="9" width="10.7265625" customWidth="1"/>
    <col min="10" max="10" width="2.90625" customWidth="1"/>
    <col min="11" max="11" width="4.6328125" customWidth="1"/>
    <col min="12" max="12" width="2.90625" customWidth="1"/>
    <col min="13" max="13" width="6.90625" customWidth="1"/>
    <col min="14" max="14" width="2.81640625" customWidth="1"/>
    <col min="15" max="15" width="3.90625" customWidth="1"/>
    <col min="16" max="16" width="6" customWidth="1"/>
    <col min="17" max="17" width="2.81640625" customWidth="1"/>
    <col min="18" max="18" width="4.1796875" customWidth="1"/>
    <col min="19" max="19" width="3.54296875" customWidth="1"/>
    <col min="20" max="20" width="4.453125" customWidth="1"/>
    <col min="21" max="21" width="3.26953125" customWidth="1"/>
    <col min="22" max="22" width="9.453125" customWidth="1"/>
    <col min="23" max="23" width="3.6328125" customWidth="1"/>
    <col min="24" max="24" width="9.7265625" customWidth="1"/>
    <col min="25" max="25" width="10.453125" customWidth="1"/>
    <col min="26" max="26" width="10.453125" bestFit="1" customWidth="1"/>
    <col min="27" max="27" width="7.26953125" bestFit="1" customWidth="1"/>
    <col min="28" max="28" width="16.7265625" bestFit="1" customWidth="1"/>
    <col min="29" max="29" width="5.90625" bestFit="1" customWidth="1"/>
    <col min="30" max="30" width="7" bestFit="1" customWidth="1"/>
    <col min="31" max="31" width="4.90625" bestFit="1" customWidth="1"/>
    <col min="32" max="32" width="7.81640625" bestFit="1" customWidth="1"/>
    <col min="33" max="33" width="12.7265625" bestFit="1" customWidth="1"/>
    <col min="34" max="34" width="10.7265625" bestFit="1" customWidth="1"/>
    <col min="35" max="35" width="2.81640625" bestFit="1" customWidth="1"/>
    <col min="36" max="36" width="3.54296875" bestFit="1" customWidth="1"/>
    <col min="37" max="37" width="4.453125" bestFit="1" customWidth="1"/>
    <col min="38" max="38" width="2.81640625" bestFit="1" customWidth="1"/>
    <col min="39" max="39" width="4.1796875" bestFit="1" customWidth="1"/>
    <col min="40" max="40" width="3.90625" bestFit="1" customWidth="1"/>
    <col min="41" max="41" width="6.90625" bestFit="1" customWidth="1"/>
    <col min="42" max="42" width="6" bestFit="1" customWidth="1"/>
    <col min="43" max="43" width="2.90625" bestFit="1" customWidth="1"/>
    <col min="44" max="44" width="3.26953125" bestFit="1" customWidth="1"/>
    <col min="45" max="45" width="2.90625" bestFit="1" customWidth="1"/>
    <col min="46" max="46" width="9.7265625" bestFit="1" customWidth="1"/>
    <col min="47" max="47" width="9.453125" bestFit="1" customWidth="1"/>
    <col min="48" max="48" width="3.6328125" bestFit="1" customWidth="1"/>
    <col min="49" max="49" width="10.453125" bestFit="1" customWidth="1"/>
  </cols>
  <sheetData>
    <row r="1" spans="1:25" x14ac:dyDescent="0.35">
      <c r="A1" t="s">
        <v>200</v>
      </c>
      <c r="B1" t="s">
        <v>201</v>
      </c>
      <c r="C1" t="s">
        <v>202</v>
      </c>
      <c r="D1" t="s">
        <v>203</v>
      </c>
      <c r="E1" t="s">
        <v>0</v>
      </c>
      <c r="F1" t="s">
        <v>204</v>
      </c>
      <c r="G1" t="s">
        <v>22</v>
      </c>
      <c r="H1" t="s">
        <v>294</v>
      </c>
      <c r="I1" t="s">
        <v>295</v>
      </c>
      <c r="J1" t="s">
        <v>10</v>
      </c>
      <c r="K1" t="s">
        <v>119</v>
      </c>
      <c r="L1" t="s">
        <v>12</v>
      </c>
      <c r="M1" t="s">
        <v>8</v>
      </c>
      <c r="N1" t="s">
        <v>5</v>
      </c>
      <c r="O1" t="s">
        <v>7</v>
      </c>
      <c r="P1" t="s">
        <v>9</v>
      </c>
      <c r="Q1" t="s">
        <v>2</v>
      </c>
      <c r="R1" t="s">
        <v>6</v>
      </c>
      <c r="S1" t="s">
        <v>3</v>
      </c>
      <c r="T1" t="s">
        <v>4</v>
      </c>
      <c r="U1" t="s">
        <v>11</v>
      </c>
      <c r="V1" t="s">
        <v>14</v>
      </c>
      <c r="W1" t="s">
        <v>15</v>
      </c>
      <c r="X1" t="s">
        <v>13</v>
      </c>
      <c r="Y1" t="s">
        <v>296</v>
      </c>
    </row>
    <row r="2" spans="1:25" x14ac:dyDescent="0.35">
      <c r="A2">
        <v>3061</v>
      </c>
      <c r="B2" t="s">
        <v>173</v>
      </c>
      <c r="C2" t="s">
        <v>7</v>
      </c>
      <c r="D2" t="s">
        <v>205</v>
      </c>
      <c r="E2">
        <v>0</v>
      </c>
      <c r="F2">
        <v>0</v>
      </c>
      <c r="G2">
        <v>0</v>
      </c>
      <c r="H2" t="s">
        <v>297</v>
      </c>
      <c r="I2">
        <v>8</v>
      </c>
      <c r="J2">
        <v>0</v>
      </c>
      <c r="K2">
        <v>0</v>
      </c>
      <c r="L2">
        <v>0</v>
      </c>
      <c r="M2">
        <v>0</v>
      </c>
      <c r="N2">
        <v>1</v>
      </c>
      <c r="O2">
        <v>8</v>
      </c>
      <c r="P2">
        <v>0</v>
      </c>
      <c r="Q2">
        <v>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t="s">
        <v>7</v>
      </c>
    </row>
    <row r="3" spans="1:25" x14ac:dyDescent="0.35">
      <c r="A3">
        <v>3063</v>
      </c>
      <c r="B3" t="s">
        <v>173</v>
      </c>
      <c r="C3" t="s">
        <v>7</v>
      </c>
      <c r="D3" t="s">
        <v>205</v>
      </c>
      <c r="E3">
        <v>0</v>
      </c>
      <c r="F3">
        <v>0</v>
      </c>
      <c r="G3">
        <v>0</v>
      </c>
      <c r="H3" t="s">
        <v>297</v>
      </c>
      <c r="I3">
        <v>5</v>
      </c>
      <c r="J3">
        <v>0</v>
      </c>
      <c r="K3">
        <v>0</v>
      </c>
      <c r="L3">
        <v>0</v>
      </c>
      <c r="M3">
        <v>2</v>
      </c>
      <c r="N3">
        <v>3</v>
      </c>
      <c r="O3">
        <v>5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7</v>
      </c>
    </row>
    <row r="4" spans="1:25" x14ac:dyDescent="0.35">
      <c r="A4">
        <v>3064</v>
      </c>
      <c r="B4" t="s">
        <v>173</v>
      </c>
      <c r="C4" t="s">
        <v>7</v>
      </c>
      <c r="D4" t="s">
        <v>205</v>
      </c>
      <c r="E4">
        <v>0</v>
      </c>
      <c r="F4">
        <v>0</v>
      </c>
      <c r="G4">
        <v>0</v>
      </c>
      <c r="H4" t="s">
        <v>297</v>
      </c>
      <c r="I4">
        <v>5</v>
      </c>
      <c r="J4">
        <v>0</v>
      </c>
      <c r="K4">
        <v>0</v>
      </c>
      <c r="L4">
        <v>0</v>
      </c>
      <c r="M4">
        <v>0</v>
      </c>
      <c r="N4">
        <v>3</v>
      </c>
      <c r="O4">
        <v>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7</v>
      </c>
    </row>
    <row r="5" spans="1:25" x14ac:dyDescent="0.35">
      <c r="A5">
        <v>3067</v>
      </c>
      <c r="B5" t="s">
        <v>173</v>
      </c>
      <c r="C5" t="s">
        <v>7</v>
      </c>
      <c r="D5" t="s">
        <v>205</v>
      </c>
      <c r="E5">
        <v>0</v>
      </c>
      <c r="F5">
        <v>0</v>
      </c>
      <c r="G5">
        <v>0</v>
      </c>
      <c r="H5" t="s">
        <v>297</v>
      </c>
      <c r="I5">
        <v>6</v>
      </c>
      <c r="J5">
        <v>0</v>
      </c>
      <c r="K5">
        <v>0</v>
      </c>
      <c r="L5">
        <v>0</v>
      </c>
      <c r="M5">
        <v>0</v>
      </c>
      <c r="N5">
        <v>3</v>
      </c>
      <c r="O5">
        <v>6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V5">
        <v>0</v>
      </c>
      <c r="W5">
        <v>0</v>
      </c>
      <c r="X5">
        <v>0</v>
      </c>
      <c r="Y5" t="s">
        <v>7</v>
      </c>
    </row>
    <row r="6" spans="1:25" x14ac:dyDescent="0.35">
      <c r="A6">
        <v>3070</v>
      </c>
      <c r="B6" t="s">
        <v>173</v>
      </c>
      <c r="C6" t="s">
        <v>7</v>
      </c>
      <c r="D6" t="s">
        <v>205</v>
      </c>
      <c r="E6">
        <v>1</v>
      </c>
      <c r="F6">
        <v>0</v>
      </c>
      <c r="G6">
        <v>0</v>
      </c>
      <c r="H6" t="s">
        <v>297</v>
      </c>
      <c r="I6">
        <v>5</v>
      </c>
      <c r="J6">
        <v>0</v>
      </c>
      <c r="K6">
        <v>0</v>
      </c>
      <c r="L6">
        <v>0</v>
      </c>
      <c r="M6">
        <v>0</v>
      </c>
      <c r="N6">
        <v>3</v>
      </c>
      <c r="O6">
        <v>5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</v>
      </c>
      <c r="W6">
        <v>0</v>
      </c>
      <c r="X6">
        <v>0</v>
      </c>
      <c r="Y6" t="s">
        <v>7</v>
      </c>
    </row>
    <row r="7" spans="1:25" x14ac:dyDescent="0.35">
      <c r="A7">
        <v>3072</v>
      </c>
      <c r="B7" t="s">
        <v>173</v>
      </c>
      <c r="C7" t="s">
        <v>7</v>
      </c>
      <c r="D7" t="s">
        <v>205</v>
      </c>
      <c r="E7">
        <v>1</v>
      </c>
      <c r="F7">
        <v>0</v>
      </c>
      <c r="G7">
        <v>0</v>
      </c>
      <c r="H7" t="s">
        <v>297</v>
      </c>
      <c r="I7">
        <v>5</v>
      </c>
      <c r="J7">
        <v>0</v>
      </c>
      <c r="K7">
        <v>0</v>
      </c>
      <c r="L7">
        <v>0</v>
      </c>
      <c r="M7">
        <v>0</v>
      </c>
      <c r="N7">
        <v>3</v>
      </c>
      <c r="O7">
        <v>5</v>
      </c>
      <c r="P7">
        <v>0</v>
      </c>
      <c r="Q7">
        <v>0</v>
      </c>
      <c r="R7">
        <v>0</v>
      </c>
      <c r="S7">
        <v>2</v>
      </c>
      <c r="T7">
        <v>0</v>
      </c>
      <c r="U7">
        <v>0</v>
      </c>
      <c r="V7">
        <v>0</v>
      </c>
      <c r="W7">
        <v>0</v>
      </c>
      <c r="X7">
        <v>0</v>
      </c>
      <c r="Y7" t="s">
        <v>7</v>
      </c>
    </row>
    <row r="8" spans="1:25" x14ac:dyDescent="0.35">
      <c r="A8">
        <v>3074</v>
      </c>
      <c r="B8" t="s">
        <v>173</v>
      </c>
      <c r="C8" t="s">
        <v>7</v>
      </c>
      <c r="D8" t="s">
        <v>205</v>
      </c>
      <c r="E8">
        <v>0</v>
      </c>
      <c r="F8">
        <v>0</v>
      </c>
      <c r="G8">
        <v>0</v>
      </c>
      <c r="H8" t="s">
        <v>297</v>
      </c>
      <c r="I8">
        <v>7</v>
      </c>
      <c r="J8">
        <v>0</v>
      </c>
      <c r="K8">
        <v>0</v>
      </c>
      <c r="L8">
        <v>0</v>
      </c>
      <c r="M8">
        <v>0</v>
      </c>
      <c r="N8">
        <v>2</v>
      </c>
      <c r="O8">
        <v>7</v>
      </c>
      <c r="P8">
        <v>0</v>
      </c>
      <c r="Q8">
        <v>0</v>
      </c>
      <c r="R8">
        <v>0</v>
      </c>
      <c r="S8">
        <v>1</v>
      </c>
      <c r="T8">
        <v>0</v>
      </c>
      <c r="U8">
        <v>0</v>
      </c>
      <c r="V8">
        <v>0</v>
      </c>
      <c r="W8">
        <v>0</v>
      </c>
      <c r="X8">
        <v>0</v>
      </c>
      <c r="Y8" t="s">
        <v>7</v>
      </c>
    </row>
    <row r="9" spans="1:25" x14ac:dyDescent="0.35">
      <c r="A9">
        <v>3075</v>
      </c>
      <c r="B9" t="s">
        <v>173</v>
      </c>
      <c r="C9" t="s">
        <v>7</v>
      </c>
      <c r="D9" t="s">
        <v>205</v>
      </c>
      <c r="E9">
        <v>0</v>
      </c>
      <c r="F9">
        <v>0</v>
      </c>
      <c r="G9">
        <v>0</v>
      </c>
      <c r="H9" t="s">
        <v>297</v>
      </c>
      <c r="I9">
        <v>7</v>
      </c>
      <c r="J9">
        <v>0</v>
      </c>
      <c r="K9">
        <v>0</v>
      </c>
      <c r="L9">
        <v>0</v>
      </c>
      <c r="M9">
        <v>0</v>
      </c>
      <c r="N9">
        <v>2</v>
      </c>
      <c r="O9">
        <v>7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 t="s">
        <v>7</v>
      </c>
    </row>
    <row r="10" spans="1:25" x14ac:dyDescent="0.35">
      <c r="A10">
        <v>3077</v>
      </c>
      <c r="B10" t="s">
        <v>173</v>
      </c>
      <c r="C10" t="s">
        <v>7</v>
      </c>
      <c r="D10" t="s">
        <v>205</v>
      </c>
      <c r="E10">
        <v>1</v>
      </c>
      <c r="F10">
        <v>0</v>
      </c>
      <c r="G10">
        <v>0</v>
      </c>
      <c r="H10" t="s">
        <v>297</v>
      </c>
      <c r="I10">
        <v>8</v>
      </c>
      <c r="J10">
        <v>0</v>
      </c>
      <c r="K10">
        <v>0</v>
      </c>
      <c r="L10">
        <v>0</v>
      </c>
      <c r="M10">
        <v>0</v>
      </c>
      <c r="N10">
        <v>2</v>
      </c>
      <c r="O10">
        <v>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7</v>
      </c>
    </row>
    <row r="11" spans="1:25" x14ac:dyDescent="0.35">
      <c r="A11">
        <v>3079</v>
      </c>
      <c r="B11" t="s">
        <v>173</v>
      </c>
      <c r="C11" t="s">
        <v>7</v>
      </c>
      <c r="D11" t="s">
        <v>205</v>
      </c>
      <c r="E11">
        <v>0</v>
      </c>
      <c r="F11">
        <v>0</v>
      </c>
      <c r="G11">
        <v>0</v>
      </c>
      <c r="H11" t="s">
        <v>297</v>
      </c>
      <c r="I11">
        <v>7</v>
      </c>
      <c r="J11">
        <v>0</v>
      </c>
      <c r="K11">
        <v>0</v>
      </c>
      <c r="L11">
        <v>0</v>
      </c>
      <c r="M11">
        <v>0</v>
      </c>
      <c r="N11">
        <v>2</v>
      </c>
      <c r="O11">
        <v>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1</v>
      </c>
      <c r="Y11" t="s">
        <v>7</v>
      </c>
    </row>
    <row r="12" spans="1:25" x14ac:dyDescent="0.35">
      <c r="A12">
        <v>3096</v>
      </c>
      <c r="B12" t="s">
        <v>173</v>
      </c>
      <c r="C12" t="s">
        <v>7</v>
      </c>
      <c r="D12" t="s">
        <v>205</v>
      </c>
      <c r="E12">
        <v>1</v>
      </c>
      <c r="F12">
        <v>0</v>
      </c>
      <c r="G12">
        <v>0</v>
      </c>
      <c r="H12" t="s">
        <v>297</v>
      </c>
      <c r="I12">
        <v>7</v>
      </c>
      <c r="J12">
        <v>0</v>
      </c>
      <c r="K12">
        <v>0</v>
      </c>
      <c r="L12">
        <v>0</v>
      </c>
      <c r="M12">
        <v>0</v>
      </c>
      <c r="N12">
        <v>1</v>
      </c>
      <c r="O12">
        <v>7</v>
      </c>
      <c r="P12">
        <v>0</v>
      </c>
      <c r="Q12">
        <v>0</v>
      </c>
      <c r="R12">
        <v>0</v>
      </c>
      <c r="S12">
        <v>2</v>
      </c>
      <c r="T12">
        <v>0</v>
      </c>
      <c r="U12">
        <v>0</v>
      </c>
      <c r="V12">
        <v>0</v>
      </c>
      <c r="W12">
        <v>0</v>
      </c>
      <c r="X12">
        <v>0</v>
      </c>
      <c r="Y12" t="s">
        <v>7</v>
      </c>
    </row>
    <row r="13" spans="1:25" x14ac:dyDescent="0.35">
      <c r="A13">
        <v>3111</v>
      </c>
      <c r="B13" t="s">
        <v>173</v>
      </c>
      <c r="C13" t="s">
        <v>7</v>
      </c>
      <c r="D13" t="s">
        <v>205</v>
      </c>
      <c r="E13">
        <v>0</v>
      </c>
      <c r="F13">
        <v>0</v>
      </c>
      <c r="G13">
        <v>0</v>
      </c>
      <c r="H13" t="s">
        <v>297</v>
      </c>
      <c r="I13">
        <v>5</v>
      </c>
      <c r="J13">
        <v>0</v>
      </c>
      <c r="K13">
        <v>0</v>
      </c>
      <c r="L13">
        <v>0</v>
      </c>
      <c r="M13">
        <v>3</v>
      </c>
      <c r="N13">
        <v>0</v>
      </c>
      <c r="O13">
        <v>5</v>
      </c>
      <c r="P13">
        <v>0</v>
      </c>
      <c r="Q13">
        <v>0</v>
      </c>
      <c r="R13">
        <v>0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 t="s">
        <v>7</v>
      </c>
    </row>
    <row r="14" spans="1:25" x14ac:dyDescent="0.35">
      <c r="A14">
        <v>3276</v>
      </c>
      <c r="B14" t="s">
        <v>173</v>
      </c>
      <c r="C14" t="s">
        <v>10</v>
      </c>
      <c r="D14" t="s">
        <v>205</v>
      </c>
      <c r="E14">
        <v>1</v>
      </c>
      <c r="F14">
        <v>0</v>
      </c>
      <c r="G14">
        <v>0</v>
      </c>
      <c r="H14" t="s">
        <v>297</v>
      </c>
      <c r="I14">
        <v>5</v>
      </c>
      <c r="J14">
        <v>5</v>
      </c>
      <c r="K14">
        <v>0</v>
      </c>
      <c r="L14">
        <v>0</v>
      </c>
      <c r="M14">
        <v>0</v>
      </c>
      <c r="N14">
        <v>2</v>
      </c>
      <c r="O14">
        <v>0</v>
      </c>
      <c r="P14">
        <v>0</v>
      </c>
      <c r="Q14">
        <v>0</v>
      </c>
      <c r="R14">
        <v>0</v>
      </c>
      <c r="S14">
        <v>3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7</v>
      </c>
    </row>
    <row r="15" spans="1:25" x14ac:dyDescent="0.35">
      <c r="A15">
        <v>3279</v>
      </c>
      <c r="B15" t="s">
        <v>173</v>
      </c>
      <c r="C15" t="s">
        <v>10</v>
      </c>
      <c r="D15" t="s">
        <v>205</v>
      </c>
      <c r="E15">
        <v>1</v>
      </c>
      <c r="F15">
        <v>0</v>
      </c>
      <c r="G15">
        <v>0</v>
      </c>
      <c r="H15" t="s">
        <v>297</v>
      </c>
      <c r="I15">
        <v>5</v>
      </c>
      <c r="J15">
        <v>5</v>
      </c>
      <c r="K15">
        <v>2</v>
      </c>
      <c r="L15">
        <v>0</v>
      </c>
      <c r="M15">
        <v>0</v>
      </c>
      <c r="N15">
        <v>3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t="s">
        <v>7</v>
      </c>
    </row>
    <row r="16" spans="1:25" x14ac:dyDescent="0.35">
      <c r="A16">
        <v>3284</v>
      </c>
      <c r="B16" t="s">
        <v>173</v>
      </c>
      <c r="C16" t="s">
        <v>10</v>
      </c>
      <c r="D16" t="s">
        <v>205</v>
      </c>
      <c r="E16">
        <v>1</v>
      </c>
      <c r="F16">
        <v>0</v>
      </c>
      <c r="G16">
        <v>0</v>
      </c>
      <c r="H16" t="s">
        <v>297</v>
      </c>
      <c r="I16">
        <v>5</v>
      </c>
      <c r="J16">
        <v>5</v>
      </c>
      <c r="K16">
        <v>0</v>
      </c>
      <c r="L16">
        <v>0</v>
      </c>
      <c r="M16">
        <v>4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 t="s">
        <v>7</v>
      </c>
    </row>
    <row r="17" spans="1:25" x14ac:dyDescent="0.35">
      <c r="A17">
        <v>3286</v>
      </c>
      <c r="B17" t="s">
        <v>173</v>
      </c>
      <c r="C17" t="s">
        <v>10</v>
      </c>
      <c r="D17" t="s">
        <v>205</v>
      </c>
      <c r="E17">
        <v>1</v>
      </c>
      <c r="F17">
        <v>0</v>
      </c>
      <c r="G17">
        <v>0</v>
      </c>
      <c r="H17" t="s">
        <v>297</v>
      </c>
      <c r="I17">
        <v>8</v>
      </c>
      <c r="J17">
        <v>8</v>
      </c>
      <c r="K17">
        <v>0</v>
      </c>
      <c r="L17">
        <v>0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t="s">
        <v>7</v>
      </c>
    </row>
    <row r="18" spans="1:25" x14ac:dyDescent="0.35">
      <c r="A18">
        <v>3449</v>
      </c>
      <c r="B18" t="s">
        <v>173</v>
      </c>
      <c r="C18" t="s">
        <v>7</v>
      </c>
      <c r="D18" t="s">
        <v>205</v>
      </c>
      <c r="E18">
        <v>0</v>
      </c>
      <c r="F18">
        <v>0</v>
      </c>
      <c r="G18">
        <v>0</v>
      </c>
      <c r="H18" t="s">
        <v>297</v>
      </c>
      <c r="I18">
        <v>5</v>
      </c>
      <c r="J18">
        <v>0</v>
      </c>
      <c r="K18">
        <v>0</v>
      </c>
      <c r="L18">
        <v>0</v>
      </c>
      <c r="M18">
        <v>0</v>
      </c>
      <c r="N18">
        <v>1</v>
      </c>
      <c r="O18">
        <v>5</v>
      </c>
      <c r="P18">
        <v>0</v>
      </c>
      <c r="Q18">
        <v>0</v>
      </c>
      <c r="R18">
        <v>0</v>
      </c>
      <c r="S18">
        <v>4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7</v>
      </c>
    </row>
    <row r="19" spans="1:25" x14ac:dyDescent="0.35">
      <c r="A19">
        <v>3455</v>
      </c>
      <c r="B19" t="s">
        <v>173</v>
      </c>
      <c r="C19" t="s">
        <v>7</v>
      </c>
      <c r="D19" t="s">
        <v>205</v>
      </c>
      <c r="E19">
        <v>0</v>
      </c>
      <c r="F19">
        <v>1</v>
      </c>
      <c r="G19">
        <v>0</v>
      </c>
      <c r="H19" t="s">
        <v>297</v>
      </c>
      <c r="I19">
        <v>5</v>
      </c>
      <c r="J19">
        <v>0</v>
      </c>
      <c r="K19">
        <v>0</v>
      </c>
      <c r="L19">
        <v>0</v>
      </c>
      <c r="M19">
        <v>0</v>
      </c>
      <c r="N19">
        <v>0</v>
      </c>
      <c r="O19">
        <v>5</v>
      </c>
      <c r="P19">
        <v>0</v>
      </c>
      <c r="Q19">
        <v>0</v>
      </c>
      <c r="R19">
        <v>0</v>
      </c>
      <c r="S19">
        <v>4</v>
      </c>
      <c r="T19">
        <v>0</v>
      </c>
      <c r="U19">
        <v>1</v>
      </c>
      <c r="V19">
        <v>0</v>
      </c>
      <c r="W19">
        <v>0</v>
      </c>
      <c r="X19">
        <v>0</v>
      </c>
      <c r="Y19" t="s">
        <v>7</v>
      </c>
    </row>
    <row r="20" spans="1:25" x14ac:dyDescent="0.35">
      <c r="A20">
        <v>3790</v>
      </c>
      <c r="B20" t="s">
        <v>173</v>
      </c>
      <c r="C20" t="s">
        <v>7</v>
      </c>
      <c r="D20" t="s">
        <v>205</v>
      </c>
      <c r="E20">
        <v>0</v>
      </c>
      <c r="F20">
        <v>1</v>
      </c>
      <c r="G20">
        <v>0</v>
      </c>
      <c r="H20" t="s">
        <v>297</v>
      </c>
      <c r="I20">
        <v>5</v>
      </c>
      <c r="J20">
        <v>0</v>
      </c>
      <c r="K20">
        <v>0</v>
      </c>
      <c r="L20">
        <v>0</v>
      </c>
      <c r="M20">
        <v>0</v>
      </c>
      <c r="N20">
        <v>3</v>
      </c>
      <c r="O20">
        <v>5</v>
      </c>
      <c r="P20">
        <v>0</v>
      </c>
      <c r="Q20">
        <v>0</v>
      </c>
      <c r="R20">
        <v>0</v>
      </c>
      <c r="S20">
        <v>2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7</v>
      </c>
    </row>
    <row r="21" spans="1:25" x14ac:dyDescent="0.35">
      <c r="A21">
        <v>3799</v>
      </c>
      <c r="B21" t="s">
        <v>173</v>
      </c>
      <c r="C21" t="s">
        <v>7</v>
      </c>
      <c r="D21" t="s">
        <v>205</v>
      </c>
      <c r="E21">
        <v>1</v>
      </c>
      <c r="F21">
        <v>0</v>
      </c>
      <c r="G21">
        <v>0</v>
      </c>
      <c r="H21" t="s">
        <v>297</v>
      </c>
      <c r="I21">
        <v>8</v>
      </c>
      <c r="J21">
        <v>0</v>
      </c>
      <c r="K21">
        <v>0</v>
      </c>
      <c r="L21">
        <v>0</v>
      </c>
      <c r="M21">
        <v>0</v>
      </c>
      <c r="N21">
        <v>1</v>
      </c>
      <c r="O21">
        <v>8</v>
      </c>
      <c r="P21">
        <v>0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7</v>
      </c>
    </row>
    <row r="22" spans="1:25" x14ac:dyDescent="0.35">
      <c r="A22">
        <v>3809</v>
      </c>
      <c r="B22" t="s">
        <v>173</v>
      </c>
      <c r="C22" t="s">
        <v>10</v>
      </c>
      <c r="D22" t="s">
        <v>205</v>
      </c>
      <c r="E22">
        <v>1</v>
      </c>
      <c r="F22">
        <v>0</v>
      </c>
      <c r="G22">
        <v>0</v>
      </c>
      <c r="H22" t="s">
        <v>297</v>
      </c>
      <c r="I22">
        <v>6</v>
      </c>
      <c r="J22">
        <v>6</v>
      </c>
      <c r="K22">
        <v>3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7</v>
      </c>
    </row>
    <row r="23" spans="1:25" x14ac:dyDescent="0.35">
      <c r="A23">
        <v>3082</v>
      </c>
      <c r="B23" t="s">
        <v>150</v>
      </c>
      <c r="C23" t="s">
        <v>3</v>
      </c>
      <c r="D23" t="s">
        <v>312</v>
      </c>
      <c r="E23">
        <v>0</v>
      </c>
      <c r="F23">
        <v>0</v>
      </c>
      <c r="G23">
        <v>1</v>
      </c>
      <c r="H23" t="s">
        <v>297</v>
      </c>
      <c r="I23">
        <v>8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>
        <v>0</v>
      </c>
      <c r="Q23">
        <v>0</v>
      </c>
      <c r="R23">
        <v>0</v>
      </c>
      <c r="S23">
        <v>8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3</v>
      </c>
    </row>
    <row r="24" spans="1:25" x14ac:dyDescent="0.35">
      <c r="A24">
        <v>3086</v>
      </c>
      <c r="B24" t="s">
        <v>150</v>
      </c>
      <c r="C24" t="s">
        <v>3</v>
      </c>
      <c r="D24" t="s">
        <v>312</v>
      </c>
      <c r="E24">
        <v>0</v>
      </c>
      <c r="F24">
        <v>0</v>
      </c>
      <c r="G24">
        <v>1</v>
      </c>
      <c r="H24" t="s">
        <v>297</v>
      </c>
      <c r="I24">
        <v>6</v>
      </c>
      <c r="J24">
        <v>0</v>
      </c>
      <c r="K24">
        <v>0</v>
      </c>
      <c r="L24">
        <v>0</v>
      </c>
      <c r="M24">
        <v>1</v>
      </c>
      <c r="N24">
        <v>0</v>
      </c>
      <c r="O24">
        <v>3</v>
      </c>
      <c r="P24">
        <v>0</v>
      </c>
      <c r="Q24">
        <v>0</v>
      </c>
      <c r="R24">
        <v>0</v>
      </c>
      <c r="S24">
        <v>6</v>
      </c>
      <c r="T24">
        <v>0</v>
      </c>
      <c r="U24">
        <v>0</v>
      </c>
      <c r="V24">
        <v>0</v>
      </c>
      <c r="W24">
        <v>0</v>
      </c>
      <c r="X24">
        <v>0</v>
      </c>
      <c r="Y24" t="s">
        <v>3</v>
      </c>
    </row>
    <row r="25" spans="1:25" x14ac:dyDescent="0.35">
      <c r="A25">
        <v>3094</v>
      </c>
      <c r="B25" t="s">
        <v>150</v>
      </c>
      <c r="C25" t="s">
        <v>3</v>
      </c>
      <c r="D25" t="s">
        <v>312</v>
      </c>
      <c r="E25">
        <v>0</v>
      </c>
      <c r="F25">
        <v>0</v>
      </c>
      <c r="G25">
        <v>0</v>
      </c>
      <c r="H25" t="s">
        <v>297</v>
      </c>
      <c r="I25">
        <v>10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10</v>
      </c>
      <c r="T25">
        <v>0</v>
      </c>
      <c r="U25">
        <v>0</v>
      </c>
      <c r="V25">
        <v>0</v>
      </c>
      <c r="W25">
        <v>0</v>
      </c>
      <c r="X25">
        <v>0</v>
      </c>
      <c r="Y25" t="s">
        <v>3</v>
      </c>
    </row>
    <row r="26" spans="1:25" x14ac:dyDescent="0.35">
      <c r="A26">
        <v>3531</v>
      </c>
      <c r="B26" t="s">
        <v>150</v>
      </c>
      <c r="C26" t="s">
        <v>4</v>
      </c>
      <c r="D26" t="s">
        <v>312</v>
      </c>
      <c r="E26">
        <v>1</v>
      </c>
      <c r="F26">
        <v>0</v>
      </c>
      <c r="G26">
        <v>0</v>
      </c>
      <c r="H26" t="s">
        <v>297</v>
      </c>
      <c r="I26">
        <v>7</v>
      </c>
      <c r="J26">
        <v>0</v>
      </c>
      <c r="K26">
        <v>0</v>
      </c>
      <c r="L26">
        <v>2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7</v>
      </c>
      <c r="U26">
        <v>0</v>
      </c>
      <c r="V26">
        <v>0</v>
      </c>
      <c r="W26">
        <v>0</v>
      </c>
      <c r="X26">
        <v>0</v>
      </c>
      <c r="Y26" t="s">
        <v>3</v>
      </c>
    </row>
    <row r="27" spans="1:25" x14ac:dyDescent="0.35">
      <c r="A27">
        <v>3533</v>
      </c>
      <c r="B27" t="s">
        <v>150</v>
      </c>
      <c r="C27" t="s">
        <v>4</v>
      </c>
      <c r="D27" t="s">
        <v>312</v>
      </c>
      <c r="E27">
        <v>0</v>
      </c>
      <c r="F27">
        <v>0</v>
      </c>
      <c r="G27">
        <v>0</v>
      </c>
      <c r="H27" t="s">
        <v>297</v>
      </c>
      <c r="I27">
        <v>5</v>
      </c>
      <c r="J27">
        <v>1</v>
      </c>
      <c r="K27">
        <v>0</v>
      </c>
      <c r="L27">
        <v>0</v>
      </c>
      <c r="M27">
        <v>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5</v>
      </c>
      <c r="U27">
        <v>0</v>
      </c>
      <c r="V27">
        <v>0</v>
      </c>
      <c r="W27">
        <v>0</v>
      </c>
      <c r="X27">
        <v>0</v>
      </c>
      <c r="Y27" t="s">
        <v>3</v>
      </c>
    </row>
    <row r="28" spans="1:25" x14ac:dyDescent="0.35">
      <c r="A28">
        <v>3534</v>
      </c>
      <c r="B28" t="s">
        <v>150</v>
      </c>
      <c r="C28" t="s">
        <v>4</v>
      </c>
      <c r="D28" t="s">
        <v>312</v>
      </c>
      <c r="E28">
        <v>1</v>
      </c>
      <c r="F28">
        <v>0</v>
      </c>
      <c r="G28">
        <v>0</v>
      </c>
      <c r="H28" t="s">
        <v>297</v>
      </c>
      <c r="I28">
        <v>5</v>
      </c>
      <c r="J28">
        <v>0</v>
      </c>
      <c r="K28">
        <v>0</v>
      </c>
      <c r="L28">
        <v>0</v>
      </c>
      <c r="M28">
        <v>3</v>
      </c>
      <c r="N28">
        <v>0</v>
      </c>
      <c r="O28">
        <v>0</v>
      </c>
      <c r="P28">
        <v>0</v>
      </c>
      <c r="Q28">
        <v>0</v>
      </c>
      <c r="R28">
        <v>0</v>
      </c>
      <c r="S28">
        <v>2</v>
      </c>
      <c r="T28">
        <v>5</v>
      </c>
      <c r="U28">
        <v>0</v>
      </c>
      <c r="V28">
        <v>0</v>
      </c>
      <c r="W28">
        <v>0</v>
      </c>
      <c r="X28">
        <v>0</v>
      </c>
      <c r="Y28" t="s">
        <v>3</v>
      </c>
    </row>
    <row r="29" spans="1:25" x14ac:dyDescent="0.35">
      <c r="A29">
        <v>3535</v>
      </c>
      <c r="B29" t="s">
        <v>150</v>
      </c>
      <c r="C29" t="s">
        <v>4</v>
      </c>
      <c r="D29" t="s">
        <v>312</v>
      </c>
      <c r="E29">
        <v>1</v>
      </c>
      <c r="F29">
        <v>0</v>
      </c>
      <c r="G29">
        <v>0</v>
      </c>
      <c r="H29" t="s">
        <v>297</v>
      </c>
      <c r="I29">
        <v>5</v>
      </c>
      <c r="J29">
        <v>0</v>
      </c>
      <c r="K29">
        <v>2</v>
      </c>
      <c r="L29">
        <v>0</v>
      </c>
      <c r="M29">
        <v>0</v>
      </c>
      <c r="N29">
        <v>0</v>
      </c>
      <c r="O29">
        <v>3</v>
      </c>
      <c r="P29">
        <v>0</v>
      </c>
      <c r="Q29">
        <v>0</v>
      </c>
      <c r="R29">
        <v>0</v>
      </c>
      <c r="S29">
        <v>0</v>
      </c>
      <c r="T29">
        <v>5</v>
      </c>
      <c r="U29">
        <v>0</v>
      </c>
      <c r="V29">
        <v>0</v>
      </c>
      <c r="W29">
        <v>0</v>
      </c>
      <c r="X29">
        <v>0</v>
      </c>
      <c r="Y29" t="s">
        <v>3</v>
      </c>
    </row>
    <row r="30" spans="1:25" x14ac:dyDescent="0.35">
      <c r="A30">
        <v>3537</v>
      </c>
      <c r="B30" t="s">
        <v>150</v>
      </c>
      <c r="C30" t="s">
        <v>4</v>
      </c>
      <c r="D30" t="s">
        <v>312</v>
      </c>
      <c r="E30">
        <v>1</v>
      </c>
      <c r="F30">
        <v>0</v>
      </c>
      <c r="G30">
        <v>0</v>
      </c>
      <c r="H30" t="s">
        <v>297</v>
      </c>
      <c r="I30">
        <v>7</v>
      </c>
      <c r="J30">
        <v>0</v>
      </c>
      <c r="K30">
        <v>0</v>
      </c>
      <c r="L30">
        <v>0</v>
      </c>
      <c r="M30">
        <v>1</v>
      </c>
      <c r="N30">
        <v>2</v>
      </c>
      <c r="O30">
        <v>0</v>
      </c>
      <c r="P30">
        <v>0</v>
      </c>
      <c r="Q30">
        <v>0</v>
      </c>
      <c r="R30">
        <v>0</v>
      </c>
      <c r="S30">
        <v>0</v>
      </c>
      <c r="T30">
        <v>7</v>
      </c>
      <c r="U30">
        <v>0</v>
      </c>
      <c r="V30">
        <v>0</v>
      </c>
      <c r="W30">
        <v>0</v>
      </c>
      <c r="X30">
        <v>0</v>
      </c>
      <c r="Y30" t="s">
        <v>3</v>
      </c>
    </row>
    <row r="31" spans="1:25" x14ac:dyDescent="0.35">
      <c r="A31">
        <v>3538</v>
      </c>
      <c r="B31" t="s">
        <v>150</v>
      </c>
      <c r="C31" t="s">
        <v>4</v>
      </c>
      <c r="D31" t="s">
        <v>312</v>
      </c>
      <c r="E31">
        <v>1</v>
      </c>
      <c r="F31">
        <v>0</v>
      </c>
      <c r="G31">
        <v>0</v>
      </c>
      <c r="H31" t="s">
        <v>297</v>
      </c>
      <c r="I31">
        <v>5</v>
      </c>
      <c r="J31">
        <v>0</v>
      </c>
      <c r="K31">
        <v>0</v>
      </c>
      <c r="L31">
        <v>0</v>
      </c>
      <c r="M31">
        <v>0</v>
      </c>
      <c r="N31">
        <v>3</v>
      </c>
      <c r="O31">
        <v>0</v>
      </c>
      <c r="P31">
        <v>0</v>
      </c>
      <c r="Q31">
        <v>0</v>
      </c>
      <c r="R31">
        <v>0</v>
      </c>
      <c r="S31">
        <v>2</v>
      </c>
      <c r="T31">
        <v>5</v>
      </c>
      <c r="U31">
        <v>0</v>
      </c>
      <c r="V31">
        <v>0</v>
      </c>
      <c r="W31">
        <v>0</v>
      </c>
      <c r="X31">
        <v>0</v>
      </c>
      <c r="Y31" t="s">
        <v>3</v>
      </c>
    </row>
    <row r="32" spans="1:25" x14ac:dyDescent="0.35">
      <c r="A32">
        <v>3539</v>
      </c>
      <c r="B32" t="s">
        <v>150</v>
      </c>
      <c r="C32" t="s">
        <v>4</v>
      </c>
      <c r="D32" t="s">
        <v>312</v>
      </c>
      <c r="E32">
        <v>1</v>
      </c>
      <c r="F32">
        <v>0</v>
      </c>
      <c r="G32">
        <v>0</v>
      </c>
      <c r="H32" t="s">
        <v>297</v>
      </c>
      <c r="I32">
        <v>6</v>
      </c>
      <c r="J32">
        <v>0</v>
      </c>
      <c r="K32">
        <v>1</v>
      </c>
      <c r="L32">
        <v>0</v>
      </c>
      <c r="M32">
        <v>3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6</v>
      </c>
      <c r="U32">
        <v>0</v>
      </c>
      <c r="V32">
        <v>0</v>
      </c>
      <c r="W32">
        <v>0</v>
      </c>
      <c r="X32">
        <v>0</v>
      </c>
      <c r="Y32" t="s">
        <v>3</v>
      </c>
    </row>
    <row r="33" spans="1:25" x14ac:dyDescent="0.35">
      <c r="A33">
        <v>3632</v>
      </c>
      <c r="B33" t="s">
        <v>150</v>
      </c>
      <c r="C33" t="s">
        <v>3</v>
      </c>
      <c r="D33" t="s">
        <v>312</v>
      </c>
      <c r="E33">
        <v>1</v>
      </c>
      <c r="F33">
        <v>0</v>
      </c>
      <c r="G33">
        <v>0</v>
      </c>
      <c r="H33" t="s">
        <v>297</v>
      </c>
      <c r="I33">
        <v>8</v>
      </c>
      <c r="J33">
        <v>0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8</v>
      </c>
      <c r="T33">
        <v>1</v>
      </c>
      <c r="U33">
        <v>0</v>
      </c>
      <c r="V33">
        <v>0</v>
      </c>
      <c r="W33">
        <v>0</v>
      </c>
      <c r="X33">
        <v>0</v>
      </c>
      <c r="Y33" t="s">
        <v>3</v>
      </c>
    </row>
    <row r="34" spans="1:25" x14ac:dyDescent="0.35">
      <c r="A34">
        <v>3634</v>
      </c>
      <c r="B34" t="s">
        <v>150</v>
      </c>
      <c r="C34" t="s">
        <v>3</v>
      </c>
      <c r="D34" t="s">
        <v>312</v>
      </c>
      <c r="E34">
        <v>1</v>
      </c>
      <c r="F34">
        <v>0</v>
      </c>
      <c r="G34">
        <v>0</v>
      </c>
      <c r="H34" t="s">
        <v>297</v>
      </c>
      <c r="I34">
        <v>5</v>
      </c>
      <c r="J34">
        <v>0</v>
      </c>
      <c r="K34">
        <v>4</v>
      </c>
      <c r="L34">
        <v>0</v>
      </c>
      <c r="M34">
        <v>0</v>
      </c>
      <c r="N34">
        <v>1</v>
      </c>
      <c r="O34">
        <v>0</v>
      </c>
      <c r="P34">
        <v>0</v>
      </c>
      <c r="Q34">
        <v>0</v>
      </c>
      <c r="R34">
        <v>0</v>
      </c>
      <c r="S34">
        <v>5</v>
      </c>
      <c r="T34">
        <v>0</v>
      </c>
      <c r="U34">
        <v>0</v>
      </c>
      <c r="V34">
        <v>0</v>
      </c>
      <c r="W34">
        <v>0</v>
      </c>
      <c r="X34">
        <v>0</v>
      </c>
      <c r="Y34" t="s">
        <v>3</v>
      </c>
    </row>
    <row r="35" spans="1:25" x14ac:dyDescent="0.35">
      <c r="A35">
        <v>3659</v>
      </c>
      <c r="B35" t="s">
        <v>150</v>
      </c>
      <c r="C35" t="s">
        <v>3</v>
      </c>
      <c r="D35" t="s">
        <v>312</v>
      </c>
      <c r="E35">
        <v>0</v>
      </c>
      <c r="F35">
        <v>0</v>
      </c>
      <c r="G35">
        <v>0</v>
      </c>
      <c r="H35" t="s">
        <v>297</v>
      </c>
      <c r="I35">
        <v>8</v>
      </c>
      <c r="J35">
        <v>0</v>
      </c>
      <c r="K35">
        <v>0</v>
      </c>
      <c r="L35">
        <v>0</v>
      </c>
      <c r="M35">
        <v>0</v>
      </c>
      <c r="N35">
        <v>2</v>
      </c>
      <c r="O35">
        <v>0</v>
      </c>
      <c r="P35">
        <v>0</v>
      </c>
      <c r="Q35">
        <v>0</v>
      </c>
      <c r="R35">
        <v>0</v>
      </c>
      <c r="S35">
        <v>8</v>
      </c>
      <c r="T35">
        <v>0</v>
      </c>
      <c r="U35">
        <v>0</v>
      </c>
      <c r="V35">
        <v>0</v>
      </c>
      <c r="W35">
        <v>0</v>
      </c>
      <c r="X35">
        <v>0</v>
      </c>
      <c r="Y35" t="s">
        <v>3</v>
      </c>
    </row>
    <row r="36" spans="1:25" x14ac:dyDescent="0.35">
      <c r="A36">
        <v>3668</v>
      </c>
      <c r="B36" t="s">
        <v>150</v>
      </c>
      <c r="C36" t="s">
        <v>4</v>
      </c>
      <c r="D36" t="s">
        <v>312</v>
      </c>
      <c r="E36">
        <v>1</v>
      </c>
      <c r="F36">
        <v>0</v>
      </c>
      <c r="G36">
        <v>0</v>
      </c>
      <c r="H36" t="s">
        <v>297</v>
      </c>
      <c r="I36">
        <v>6</v>
      </c>
      <c r="J36">
        <v>0</v>
      </c>
      <c r="K36">
        <v>0</v>
      </c>
      <c r="L36">
        <v>0</v>
      </c>
      <c r="M36">
        <v>3</v>
      </c>
      <c r="N36">
        <v>0</v>
      </c>
      <c r="O36">
        <v>0</v>
      </c>
      <c r="P36">
        <v>1</v>
      </c>
      <c r="Q36">
        <v>0</v>
      </c>
      <c r="R36">
        <v>0</v>
      </c>
      <c r="S36">
        <v>0</v>
      </c>
      <c r="T36">
        <v>6</v>
      </c>
      <c r="U36">
        <v>0</v>
      </c>
      <c r="V36">
        <v>0</v>
      </c>
      <c r="W36">
        <v>0</v>
      </c>
      <c r="X36">
        <v>0</v>
      </c>
      <c r="Y36" t="s">
        <v>3</v>
      </c>
    </row>
    <row r="37" spans="1:25" x14ac:dyDescent="0.35">
      <c r="A37">
        <v>3669</v>
      </c>
      <c r="B37" t="s">
        <v>150</v>
      </c>
      <c r="C37" t="s">
        <v>4</v>
      </c>
      <c r="D37" t="s">
        <v>312</v>
      </c>
      <c r="E37">
        <v>1</v>
      </c>
      <c r="F37">
        <v>0</v>
      </c>
      <c r="G37">
        <v>0</v>
      </c>
      <c r="H37" t="s">
        <v>297</v>
      </c>
      <c r="I37">
        <v>8</v>
      </c>
      <c r="J37">
        <v>0</v>
      </c>
      <c r="K37">
        <v>0</v>
      </c>
      <c r="L37">
        <v>0</v>
      </c>
      <c r="M37">
        <v>1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8</v>
      </c>
      <c r="U37">
        <v>0</v>
      </c>
      <c r="V37">
        <v>0</v>
      </c>
      <c r="W37">
        <v>0</v>
      </c>
      <c r="X37">
        <v>0</v>
      </c>
      <c r="Y37" t="s">
        <v>3</v>
      </c>
    </row>
    <row r="38" spans="1:25" x14ac:dyDescent="0.35">
      <c r="A38">
        <v>3736</v>
      </c>
      <c r="B38" t="s">
        <v>150</v>
      </c>
      <c r="C38" t="s">
        <v>4</v>
      </c>
      <c r="D38" t="s">
        <v>312</v>
      </c>
      <c r="E38">
        <v>1</v>
      </c>
      <c r="F38">
        <v>0</v>
      </c>
      <c r="G38">
        <v>0</v>
      </c>
      <c r="H38" t="s">
        <v>297</v>
      </c>
      <c r="I38">
        <v>8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8</v>
      </c>
      <c r="U38">
        <v>0</v>
      </c>
      <c r="V38">
        <v>0</v>
      </c>
      <c r="W38">
        <v>0</v>
      </c>
      <c r="X38">
        <v>1</v>
      </c>
      <c r="Y38" t="s">
        <v>3</v>
      </c>
    </row>
    <row r="39" spans="1:25" x14ac:dyDescent="0.35">
      <c r="A39">
        <v>3738</v>
      </c>
      <c r="B39" t="s">
        <v>150</v>
      </c>
      <c r="C39" t="s">
        <v>4</v>
      </c>
      <c r="D39" t="s">
        <v>312</v>
      </c>
      <c r="E39">
        <v>0</v>
      </c>
      <c r="F39">
        <v>0</v>
      </c>
      <c r="G39">
        <v>0</v>
      </c>
      <c r="H39" t="s">
        <v>297</v>
      </c>
      <c r="I39">
        <v>8</v>
      </c>
      <c r="J39">
        <v>0</v>
      </c>
      <c r="K39">
        <v>0</v>
      </c>
      <c r="L39">
        <v>0</v>
      </c>
      <c r="M39">
        <v>1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T39">
        <v>8</v>
      </c>
      <c r="U39">
        <v>0</v>
      </c>
      <c r="V39">
        <v>0</v>
      </c>
      <c r="W39">
        <v>0</v>
      </c>
      <c r="X39">
        <v>0</v>
      </c>
      <c r="Y39" t="s">
        <v>3</v>
      </c>
    </row>
    <row r="40" spans="1:25" x14ac:dyDescent="0.35">
      <c r="A40">
        <v>3746</v>
      </c>
      <c r="B40" t="s">
        <v>150</v>
      </c>
      <c r="C40" t="s">
        <v>4</v>
      </c>
      <c r="D40" t="s">
        <v>312</v>
      </c>
      <c r="E40">
        <v>1</v>
      </c>
      <c r="F40">
        <v>0</v>
      </c>
      <c r="G40">
        <v>0</v>
      </c>
      <c r="H40" t="s">
        <v>297</v>
      </c>
      <c r="I40">
        <v>7</v>
      </c>
      <c r="J40">
        <v>0</v>
      </c>
      <c r="K40">
        <v>0</v>
      </c>
      <c r="L40">
        <v>0</v>
      </c>
      <c r="M40">
        <v>2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7</v>
      </c>
      <c r="U40">
        <v>0</v>
      </c>
      <c r="V40">
        <v>0</v>
      </c>
      <c r="W40">
        <v>0</v>
      </c>
      <c r="X40">
        <v>1</v>
      </c>
      <c r="Y40" t="s">
        <v>3</v>
      </c>
    </row>
    <row r="41" spans="1:25" x14ac:dyDescent="0.35">
      <c r="A41">
        <v>3775</v>
      </c>
      <c r="B41" t="s">
        <v>150</v>
      </c>
      <c r="C41" t="s">
        <v>3</v>
      </c>
      <c r="D41" t="s">
        <v>312</v>
      </c>
      <c r="E41">
        <v>0</v>
      </c>
      <c r="F41">
        <v>0</v>
      </c>
      <c r="G41">
        <v>0</v>
      </c>
      <c r="H41" t="s">
        <v>297</v>
      </c>
      <c r="I41">
        <v>6</v>
      </c>
      <c r="J41">
        <v>0</v>
      </c>
      <c r="K41">
        <v>0</v>
      </c>
      <c r="L41">
        <v>0</v>
      </c>
      <c r="M41">
        <v>0</v>
      </c>
      <c r="N41">
        <v>0</v>
      </c>
      <c r="O41">
        <v>2</v>
      </c>
      <c r="P41">
        <v>0</v>
      </c>
      <c r="Q41">
        <v>2</v>
      </c>
      <c r="R41">
        <v>0</v>
      </c>
      <c r="S41">
        <v>6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3</v>
      </c>
    </row>
    <row r="42" spans="1:25" x14ac:dyDescent="0.35">
      <c r="A42">
        <v>3783</v>
      </c>
      <c r="B42" t="s">
        <v>150</v>
      </c>
      <c r="C42" t="s">
        <v>3</v>
      </c>
      <c r="D42" t="s">
        <v>312</v>
      </c>
      <c r="E42">
        <v>0</v>
      </c>
      <c r="F42">
        <v>0</v>
      </c>
      <c r="G42">
        <v>0</v>
      </c>
      <c r="H42" t="s">
        <v>297</v>
      </c>
      <c r="I42">
        <v>6</v>
      </c>
      <c r="J42">
        <v>0</v>
      </c>
      <c r="K42">
        <v>0</v>
      </c>
      <c r="L42">
        <v>0</v>
      </c>
      <c r="M42">
        <v>0</v>
      </c>
      <c r="N42">
        <v>0</v>
      </c>
      <c r="O42">
        <v>3</v>
      </c>
      <c r="P42">
        <v>0</v>
      </c>
      <c r="Q42">
        <v>1</v>
      </c>
      <c r="R42">
        <v>0</v>
      </c>
      <c r="S42">
        <v>6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3</v>
      </c>
    </row>
    <row r="43" spans="1:25" x14ac:dyDescent="0.35">
      <c r="A43">
        <v>3062</v>
      </c>
      <c r="B43" t="s">
        <v>166</v>
      </c>
      <c r="C43" t="s">
        <v>7</v>
      </c>
      <c r="D43" t="s">
        <v>292</v>
      </c>
      <c r="E43">
        <v>1</v>
      </c>
      <c r="F43">
        <v>0</v>
      </c>
      <c r="G43">
        <v>0</v>
      </c>
      <c r="H43" t="s">
        <v>297</v>
      </c>
      <c r="I43">
        <v>6</v>
      </c>
      <c r="J43">
        <v>0</v>
      </c>
      <c r="K43">
        <v>0</v>
      </c>
      <c r="L43">
        <v>0</v>
      </c>
      <c r="M43">
        <v>0</v>
      </c>
      <c r="N43">
        <v>2</v>
      </c>
      <c r="O43">
        <v>6</v>
      </c>
      <c r="P43">
        <v>0</v>
      </c>
      <c r="Q43">
        <v>0</v>
      </c>
      <c r="R43">
        <v>0</v>
      </c>
      <c r="S43">
        <v>2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7</v>
      </c>
    </row>
    <row r="44" spans="1:25" x14ac:dyDescent="0.35">
      <c r="A44">
        <v>3065</v>
      </c>
      <c r="B44" t="s">
        <v>166</v>
      </c>
      <c r="C44" t="s">
        <v>7</v>
      </c>
      <c r="D44" t="s">
        <v>292</v>
      </c>
      <c r="E44">
        <v>0</v>
      </c>
      <c r="F44">
        <v>0</v>
      </c>
      <c r="G44">
        <v>1</v>
      </c>
      <c r="H44" t="s">
        <v>297</v>
      </c>
      <c r="I44">
        <v>5</v>
      </c>
      <c r="J44">
        <v>0</v>
      </c>
      <c r="K44">
        <v>0</v>
      </c>
      <c r="L44">
        <v>0</v>
      </c>
      <c r="M44">
        <v>0</v>
      </c>
      <c r="N44">
        <v>4</v>
      </c>
      <c r="O44">
        <v>5</v>
      </c>
      <c r="P44">
        <v>0</v>
      </c>
      <c r="Q44">
        <v>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7</v>
      </c>
    </row>
    <row r="45" spans="1:25" x14ac:dyDescent="0.35">
      <c r="A45">
        <v>3078</v>
      </c>
      <c r="B45" t="s">
        <v>166</v>
      </c>
      <c r="C45" t="s">
        <v>7</v>
      </c>
      <c r="D45" t="s">
        <v>292</v>
      </c>
      <c r="E45">
        <v>0</v>
      </c>
      <c r="F45">
        <v>0</v>
      </c>
      <c r="G45">
        <v>0</v>
      </c>
      <c r="H45" t="s">
        <v>297</v>
      </c>
      <c r="I45">
        <v>8</v>
      </c>
      <c r="J45">
        <v>0</v>
      </c>
      <c r="K45">
        <v>0</v>
      </c>
      <c r="L45">
        <v>0</v>
      </c>
      <c r="M45">
        <v>0</v>
      </c>
      <c r="N45">
        <v>1</v>
      </c>
      <c r="O45">
        <v>8</v>
      </c>
      <c r="P45">
        <v>0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7</v>
      </c>
    </row>
    <row r="46" spans="1:25" x14ac:dyDescent="0.35">
      <c r="A46">
        <v>3100</v>
      </c>
      <c r="B46" t="s">
        <v>166</v>
      </c>
      <c r="C46" t="s">
        <v>7</v>
      </c>
      <c r="D46" t="s">
        <v>292</v>
      </c>
      <c r="E46">
        <v>0</v>
      </c>
      <c r="F46">
        <v>0</v>
      </c>
      <c r="G46">
        <v>1</v>
      </c>
      <c r="H46" t="s">
        <v>297</v>
      </c>
      <c r="I46">
        <v>6</v>
      </c>
      <c r="J46">
        <v>0</v>
      </c>
      <c r="K46">
        <v>0</v>
      </c>
      <c r="L46">
        <v>0</v>
      </c>
      <c r="M46">
        <v>3</v>
      </c>
      <c r="N46">
        <v>0</v>
      </c>
      <c r="O46">
        <v>6</v>
      </c>
      <c r="P46">
        <v>0</v>
      </c>
      <c r="Q46">
        <v>0</v>
      </c>
      <c r="R46">
        <v>0</v>
      </c>
      <c r="S46">
        <v>0</v>
      </c>
      <c r="T46">
        <v>0</v>
      </c>
      <c r="U46">
        <v>1</v>
      </c>
      <c r="V46">
        <v>0</v>
      </c>
      <c r="W46">
        <v>0</v>
      </c>
      <c r="X46">
        <v>0</v>
      </c>
      <c r="Y46" t="s">
        <v>7</v>
      </c>
    </row>
    <row r="47" spans="1:25" x14ac:dyDescent="0.35">
      <c r="A47">
        <v>3101</v>
      </c>
      <c r="B47" t="s">
        <v>166</v>
      </c>
      <c r="C47" t="s">
        <v>7</v>
      </c>
      <c r="D47" t="s">
        <v>292</v>
      </c>
      <c r="E47">
        <v>0</v>
      </c>
      <c r="F47">
        <v>0</v>
      </c>
      <c r="G47">
        <v>0</v>
      </c>
      <c r="H47" t="s">
        <v>297</v>
      </c>
      <c r="I47">
        <v>8</v>
      </c>
      <c r="J47">
        <v>0</v>
      </c>
      <c r="K47">
        <v>0</v>
      </c>
      <c r="L47">
        <v>0</v>
      </c>
      <c r="M47">
        <v>0</v>
      </c>
      <c r="N47">
        <v>0</v>
      </c>
      <c r="O47">
        <v>8</v>
      </c>
      <c r="P47">
        <v>0</v>
      </c>
      <c r="Q47">
        <v>1</v>
      </c>
      <c r="R47">
        <v>0</v>
      </c>
      <c r="S47">
        <v>1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7</v>
      </c>
    </row>
    <row r="48" spans="1:25" x14ac:dyDescent="0.35">
      <c r="A48">
        <v>3102</v>
      </c>
      <c r="B48" t="s">
        <v>166</v>
      </c>
      <c r="C48" t="s">
        <v>7</v>
      </c>
      <c r="D48" t="s">
        <v>292</v>
      </c>
      <c r="E48">
        <v>0</v>
      </c>
      <c r="F48">
        <v>0</v>
      </c>
      <c r="G48">
        <v>0</v>
      </c>
      <c r="H48" t="s">
        <v>297</v>
      </c>
      <c r="I48">
        <v>6</v>
      </c>
      <c r="J48">
        <v>0</v>
      </c>
      <c r="K48">
        <v>0</v>
      </c>
      <c r="L48">
        <v>0</v>
      </c>
      <c r="M48">
        <v>3</v>
      </c>
      <c r="N48">
        <v>1</v>
      </c>
      <c r="O48">
        <v>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7</v>
      </c>
    </row>
    <row r="49" spans="1:25" x14ac:dyDescent="0.35">
      <c r="A49">
        <v>3104</v>
      </c>
      <c r="B49" t="s">
        <v>166</v>
      </c>
      <c r="C49" t="s">
        <v>7</v>
      </c>
      <c r="D49" t="s">
        <v>292</v>
      </c>
      <c r="E49">
        <v>0</v>
      </c>
      <c r="F49">
        <v>0</v>
      </c>
      <c r="G49">
        <v>1</v>
      </c>
      <c r="H49" t="s">
        <v>297</v>
      </c>
      <c r="I49">
        <v>5</v>
      </c>
      <c r="J49">
        <v>0</v>
      </c>
      <c r="K49">
        <v>4</v>
      </c>
      <c r="L49">
        <v>0</v>
      </c>
      <c r="M49">
        <v>0</v>
      </c>
      <c r="N49">
        <v>0</v>
      </c>
      <c r="O49">
        <v>5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 t="s">
        <v>7</v>
      </c>
    </row>
    <row r="50" spans="1:25" x14ac:dyDescent="0.35">
      <c r="A50">
        <v>3107</v>
      </c>
      <c r="B50" t="s">
        <v>166</v>
      </c>
      <c r="C50" t="s">
        <v>7</v>
      </c>
      <c r="D50" t="s">
        <v>292</v>
      </c>
      <c r="E50">
        <v>0</v>
      </c>
      <c r="F50">
        <v>0</v>
      </c>
      <c r="G50">
        <v>0</v>
      </c>
      <c r="H50" t="s">
        <v>297</v>
      </c>
      <c r="I50">
        <v>7</v>
      </c>
      <c r="J50">
        <v>0</v>
      </c>
      <c r="K50">
        <v>0</v>
      </c>
      <c r="L50">
        <v>2</v>
      </c>
      <c r="M50">
        <v>0</v>
      </c>
      <c r="N50">
        <v>0</v>
      </c>
      <c r="O50">
        <v>7</v>
      </c>
      <c r="P50">
        <v>0</v>
      </c>
      <c r="Q50">
        <v>0</v>
      </c>
      <c r="R50">
        <v>0</v>
      </c>
      <c r="S50">
        <v>0</v>
      </c>
      <c r="T50">
        <v>0</v>
      </c>
      <c r="U50">
        <v>1</v>
      </c>
      <c r="V50">
        <v>0</v>
      </c>
      <c r="W50">
        <v>0</v>
      </c>
      <c r="X50">
        <v>0</v>
      </c>
      <c r="Y50" t="s">
        <v>7</v>
      </c>
    </row>
    <row r="51" spans="1:25" x14ac:dyDescent="0.35">
      <c r="A51">
        <v>3108</v>
      </c>
      <c r="B51" t="s">
        <v>166</v>
      </c>
      <c r="C51" t="s">
        <v>7</v>
      </c>
      <c r="D51" t="s">
        <v>292</v>
      </c>
      <c r="E51">
        <v>0</v>
      </c>
      <c r="F51">
        <v>0</v>
      </c>
      <c r="G51">
        <v>0</v>
      </c>
      <c r="H51" t="s">
        <v>297</v>
      </c>
      <c r="I51">
        <v>5</v>
      </c>
      <c r="J51">
        <v>0</v>
      </c>
      <c r="K51">
        <v>0</v>
      </c>
      <c r="L51">
        <v>0</v>
      </c>
      <c r="M51">
        <v>0</v>
      </c>
      <c r="N51">
        <v>0</v>
      </c>
      <c r="O51">
        <v>5</v>
      </c>
      <c r="P51">
        <v>0</v>
      </c>
      <c r="Q51">
        <v>3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2</v>
      </c>
      <c r="Y51" t="s">
        <v>7</v>
      </c>
    </row>
    <row r="52" spans="1:25" x14ac:dyDescent="0.35">
      <c r="A52">
        <v>3113</v>
      </c>
      <c r="B52" t="s">
        <v>166</v>
      </c>
      <c r="C52" t="s">
        <v>7</v>
      </c>
      <c r="D52" t="s">
        <v>292</v>
      </c>
      <c r="E52">
        <v>1</v>
      </c>
      <c r="F52">
        <v>0</v>
      </c>
      <c r="G52">
        <v>0</v>
      </c>
      <c r="H52" t="s">
        <v>297</v>
      </c>
      <c r="I52">
        <v>6</v>
      </c>
      <c r="J52">
        <v>0</v>
      </c>
      <c r="K52">
        <v>2</v>
      </c>
      <c r="L52">
        <v>0</v>
      </c>
      <c r="M52">
        <v>0</v>
      </c>
      <c r="N52">
        <v>0</v>
      </c>
      <c r="O52">
        <v>6</v>
      </c>
      <c r="P52">
        <v>0</v>
      </c>
      <c r="Q52">
        <v>0</v>
      </c>
      <c r="R52">
        <v>2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t="s">
        <v>7</v>
      </c>
    </row>
    <row r="53" spans="1:25" x14ac:dyDescent="0.35">
      <c r="A53">
        <v>3114</v>
      </c>
      <c r="B53" t="s">
        <v>166</v>
      </c>
      <c r="C53" t="s">
        <v>7</v>
      </c>
      <c r="D53" t="s">
        <v>292</v>
      </c>
      <c r="E53">
        <v>1</v>
      </c>
      <c r="F53">
        <v>0</v>
      </c>
      <c r="G53">
        <v>0</v>
      </c>
      <c r="H53" t="s">
        <v>297</v>
      </c>
      <c r="I53">
        <v>8</v>
      </c>
      <c r="J53">
        <v>0</v>
      </c>
      <c r="K53">
        <v>1</v>
      </c>
      <c r="L53">
        <v>0</v>
      </c>
      <c r="M53">
        <v>0</v>
      </c>
      <c r="N53">
        <v>0</v>
      </c>
      <c r="O53">
        <v>8</v>
      </c>
      <c r="P53">
        <v>0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0</v>
      </c>
      <c r="Y53" t="s">
        <v>7</v>
      </c>
    </row>
    <row r="54" spans="1:25" x14ac:dyDescent="0.35">
      <c r="A54">
        <v>3451</v>
      </c>
      <c r="B54" t="s">
        <v>166</v>
      </c>
      <c r="C54" t="s">
        <v>7</v>
      </c>
      <c r="D54" t="s">
        <v>292</v>
      </c>
      <c r="E54">
        <v>1</v>
      </c>
      <c r="F54">
        <v>0</v>
      </c>
      <c r="G54">
        <v>0</v>
      </c>
      <c r="H54" t="s">
        <v>297</v>
      </c>
      <c r="I54">
        <v>8</v>
      </c>
      <c r="J54">
        <v>0</v>
      </c>
      <c r="K54">
        <v>0</v>
      </c>
      <c r="L54">
        <v>0</v>
      </c>
      <c r="M54">
        <v>0</v>
      </c>
      <c r="N54">
        <v>0</v>
      </c>
      <c r="O54">
        <v>8</v>
      </c>
      <c r="P54">
        <v>0</v>
      </c>
      <c r="Q54">
        <v>0</v>
      </c>
      <c r="R54">
        <v>0</v>
      </c>
      <c r="S54">
        <v>1</v>
      </c>
      <c r="T54">
        <v>1</v>
      </c>
      <c r="U54">
        <v>0</v>
      </c>
      <c r="V54">
        <v>0</v>
      </c>
      <c r="W54">
        <v>0</v>
      </c>
      <c r="X54">
        <v>0</v>
      </c>
      <c r="Y54" t="s">
        <v>7</v>
      </c>
    </row>
    <row r="55" spans="1:25" x14ac:dyDescent="0.35">
      <c r="A55">
        <v>3456</v>
      </c>
      <c r="B55" t="s">
        <v>166</v>
      </c>
      <c r="C55" t="s">
        <v>7</v>
      </c>
      <c r="D55" t="s">
        <v>292</v>
      </c>
      <c r="E55">
        <v>0</v>
      </c>
      <c r="F55">
        <v>0</v>
      </c>
      <c r="G55">
        <v>1</v>
      </c>
      <c r="H55" t="s">
        <v>297</v>
      </c>
      <c r="I55">
        <v>6</v>
      </c>
      <c r="J55">
        <v>0</v>
      </c>
      <c r="K55">
        <v>0</v>
      </c>
      <c r="L55">
        <v>0</v>
      </c>
      <c r="M55">
        <v>2</v>
      </c>
      <c r="N55">
        <v>0</v>
      </c>
      <c r="O55">
        <v>6</v>
      </c>
      <c r="P55">
        <v>0</v>
      </c>
      <c r="Q55">
        <v>0</v>
      </c>
      <c r="R55">
        <v>0</v>
      </c>
      <c r="S55">
        <v>2</v>
      </c>
      <c r="T55">
        <v>0</v>
      </c>
      <c r="U55">
        <v>0</v>
      </c>
      <c r="V55">
        <v>0</v>
      </c>
      <c r="W55">
        <v>0</v>
      </c>
      <c r="X55">
        <v>0</v>
      </c>
      <c r="Y55" t="s">
        <v>7</v>
      </c>
    </row>
    <row r="56" spans="1:25" x14ac:dyDescent="0.35">
      <c r="A56">
        <v>3457</v>
      </c>
      <c r="B56" t="s">
        <v>166</v>
      </c>
      <c r="C56" t="s">
        <v>7</v>
      </c>
      <c r="D56" t="s">
        <v>292</v>
      </c>
      <c r="E56">
        <v>0</v>
      </c>
      <c r="F56">
        <v>0</v>
      </c>
      <c r="G56">
        <v>0</v>
      </c>
      <c r="H56" t="s">
        <v>297</v>
      </c>
      <c r="I56">
        <v>5</v>
      </c>
      <c r="J56">
        <v>0</v>
      </c>
      <c r="K56">
        <v>0</v>
      </c>
      <c r="L56">
        <v>0</v>
      </c>
      <c r="M56">
        <v>0</v>
      </c>
      <c r="N56">
        <v>0</v>
      </c>
      <c r="O56">
        <v>5</v>
      </c>
      <c r="P56">
        <v>0</v>
      </c>
      <c r="Q56">
        <v>0</v>
      </c>
      <c r="R56">
        <v>0</v>
      </c>
      <c r="S56">
        <v>4</v>
      </c>
      <c r="T56">
        <v>0</v>
      </c>
      <c r="U56">
        <v>0</v>
      </c>
      <c r="V56">
        <v>0</v>
      </c>
      <c r="W56">
        <v>0</v>
      </c>
      <c r="X56">
        <v>1</v>
      </c>
      <c r="Y56" t="s">
        <v>7</v>
      </c>
    </row>
    <row r="57" spans="1:25" x14ac:dyDescent="0.35">
      <c r="A57">
        <v>3465</v>
      </c>
      <c r="B57" t="s">
        <v>166</v>
      </c>
      <c r="C57" t="s">
        <v>7</v>
      </c>
      <c r="D57" t="s">
        <v>292</v>
      </c>
      <c r="E57">
        <v>0</v>
      </c>
      <c r="F57">
        <v>0</v>
      </c>
      <c r="G57">
        <v>0</v>
      </c>
      <c r="H57" t="s">
        <v>297</v>
      </c>
      <c r="I57">
        <v>7</v>
      </c>
      <c r="J57">
        <v>0</v>
      </c>
      <c r="K57">
        <v>0</v>
      </c>
      <c r="L57">
        <v>0</v>
      </c>
      <c r="M57">
        <v>0</v>
      </c>
      <c r="N57">
        <v>0</v>
      </c>
      <c r="O57">
        <v>7</v>
      </c>
      <c r="P57">
        <v>0</v>
      </c>
      <c r="Q57">
        <v>0</v>
      </c>
      <c r="R57">
        <v>1</v>
      </c>
      <c r="S57">
        <v>2</v>
      </c>
      <c r="T57">
        <v>0</v>
      </c>
      <c r="U57">
        <v>0</v>
      </c>
      <c r="V57">
        <v>0</v>
      </c>
      <c r="W57">
        <v>0</v>
      </c>
      <c r="X57">
        <v>0</v>
      </c>
      <c r="Y57" t="s">
        <v>7</v>
      </c>
    </row>
    <row r="58" spans="1:25" x14ac:dyDescent="0.35">
      <c r="A58">
        <v>3716</v>
      </c>
      <c r="B58" t="s">
        <v>166</v>
      </c>
      <c r="C58" t="s">
        <v>7</v>
      </c>
      <c r="D58" t="s">
        <v>292</v>
      </c>
      <c r="E58">
        <v>0</v>
      </c>
      <c r="F58">
        <v>0</v>
      </c>
      <c r="G58">
        <v>0</v>
      </c>
      <c r="H58" t="s">
        <v>297</v>
      </c>
      <c r="I58">
        <v>7</v>
      </c>
      <c r="J58">
        <v>0</v>
      </c>
      <c r="K58">
        <v>0</v>
      </c>
      <c r="L58">
        <v>0</v>
      </c>
      <c r="M58">
        <v>0</v>
      </c>
      <c r="N58">
        <v>0</v>
      </c>
      <c r="O58">
        <v>7</v>
      </c>
      <c r="P58">
        <v>1</v>
      </c>
      <c r="Q58">
        <v>0</v>
      </c>
      <c r="R58">
        <v>0</v>
      </c>
      <c r="S58">
        <v>0</v>
      </c>
      <c r="T58">
        <v>0</v>
      </c>
      <c r="U58">
        <v>2</v>
      </c>
      <c r="V58">
        <v>0</v>
      </c>
      <c r="W58">
        <v>0</v>
      </c>
      <c r="X58">
        <v>0</v>
      </c>
      <c r="Y58" t="s">
        <v>7</v>
      </c>
    </row>
    <row r="59" spans="1:25" x14ac:dyDescent="0.35">
      <c r="A59">
        <v>3717</v>
      </c>
      <c r="B59" t="s">
        <v>166</v>
      </c>
      <c r="C59" t="s">
        <v>7</v>
      </c>
      <c r="D59" t="s">
        <v>292</v>
      </c>
      <c r="E59">
        <v>1</v>
      </c>
      <c r="F59">
        <v>0</v>
      </c>
      <c r="G59">
        <v>1</v>
      </c>
      <c r="H59" t="s">
        <v>297</v>
      </c>
      <c r="I59">
        <v>5</v>
      </c>
      <c r="J59">
        <v>0</v>
      </c>
      <c r="K59">
        <v>0</v>
      </c>
      <c r="L59">
        <v>0</v>
      </c>
      <c r="M59">
        <v>0</v>
      </c>
      <c r="N59">
        <v>1</v>
      </c>
      <c r="O59">
        <v>5</v>
      </c>
      <c r="P59">
        <v>0</v>
      </c>
      <c r="Q59">
        <v>0</v>
      </c>
      <c r="R59">
        <v>0</v>
      </c>
      <c r="S59">
        <v>4</v>
      </c>
      <c r="T59">
        <v>0</v>
      </c>
      <c r="U59">
        <v>0</v>
      </c>
      <c r="V59">
        <v>0</v>
      </c>
      <c r="W59">
        <v>0</v>
      </c>
      <c r="X59">
        <v>0</v>
      </c>
      <c r="Y59" t="s">
        <v>7</v>
      </c>
    </row>
    <row r="60" spans="1:25" x14ac:dyDescent="0.35">
      <c r="A60">
        <v>3722</v>
      </c>
      <c r="B60" t="s">
        <v>166</v>
      </c>
      <c r="C60" t="s">
        <v>7</v>
      </c>
      <c r="D60" t="s">
        <v>292</v>
      </c>
      <c r="E60">
        <v>0</v>
      </c>
      <c r="F60">
        <v>0</v>
      </c>
      <c r="G60">
        <v>0</v>
      </c>
      <c r="H60" t="s">
        <v>297</v>
      </c>
      <c r="I60">
        <v>7</v>
      </c>
      <c r="J60">
        <v>0</v>
      </c>
      <c r="K60">
        <v>0</v>
      </c>
      <c r="L60">
        <v>0</v>
      </c>
      <c r="M60">
        <v>0</v>
      </c>
      <c r="N60">
        <v>1</v>
      </c>
      <c r="O60">
        <v>7</v>
      </c>
      <c r="P60">
        <v>0</v>
      </c>
      <c r="Q60">
        <v>0</v>
      </c>
      <c r="R60">
        <v>0</v>
      </c>
      <c r="S60">
        <v>2</v>
      </c>
      <c r="T60">
        <v>0</v>
      </c>
      <c r="U60">
        <v>0</v>
      </c>
      <c r="V60">
        <v>0</v>
      </c>
      <c r="W60">
        <v>0</v>
      </c>
      <c r="X60">
        <v>0</v>
      </c>
      <c r="Y60" t="s">
        <v>7</v>
      </c>
    </row>
    <row r="61" spans="1:25" x14ac:dyDescent="0.35">
      <c r="A61">
        <v>3788</v>
      </c>
      <c r="B61" t="s">
        <v>166</v>
      </c>
      <c r="C61" t="s">
        <v>7</v>
      </c>
      <c r="D61" t="s">
        <v>292</v>
      </c>
      <c r="E61">
        <v>1</v>
      </c>
      <c r="F61">
        <v>0</v>
      </c>
      <c r="G61">
        <v>0</v>
      </c>
      <c r="H61" t="s">
        <v>297</v>
      </c>
      <c r="I61">
        <v>5</v>
      </c>
      <c r="J61">
        <v>0</v>
      </c>
      <c r="K61">
        <v>0</v>
      </c>
      <c r="L61">
        <v>0</v>
      </c>
      <c r="M61">
        <v>0</v>
      </c>
      <c r="N61">
        <v>4</v>
      </c>
      <c r="O61">
        <v>5</v>
      </c>
      <c r="P61">
        <v>0</v>
      </c>
      <c r="Q61">
        <v>0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 t="s">
        <v>7</v>
      </c>
    </row>
    <row r="62" spans="1:25" x14ac:dyDescent="0.35">
      <c r="A62">
        <v>3802</v>
      </c>
      <c r="B62" t="s">
        <v>166</v>
      </c>
      <c r="C62" t="s">
        <v>7</v>
      </c>
      <c r="D62" t="s">
        <v>292</v>
      </c>
      <c r="E62">
        <v>0</v>
      </c>
      <c r="F62">
        <v>0</v>
      </c>
      <c r="G62">
        <v>1</v>
      </c>
      <c r="H62" t="s">
        <v>297</v>
      </c>
      <c r="I62">
        <v>7</v>
      </c>
      <c r="J62">
        <v>0</v>
      </c>
      <c r="K62">
        <v>0</v>
      </c>
      <c r="L62">
        <v>0</v>
      </c>
      <c r="M62">
        <v>0</v>
      </c>
      <c r="N62">
        <v>3</v>
      </c>
      <c r="O62">
        <v>7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 t="s">
        <v>7</v>
      </c>
    </row>
    <row r="63" spans="1:25" x14ac:dyDescent="0.35">
      <c r="A63">
        <v>3162</v>
      </c>
      <c r="B63" t="s">
        <v>138</v>
      </c>
      <c r="C63" t="s">
        <v>119</v>
      </c>
      <c r="D63" t="s">
        <v>232</v>
      </c>
      <c r="E63">
        <v>1</v>
      </c>
      <c r="F63">
        <v>0</v>
      </c>
      <c r="G63">
        <v>0</v>
      </c>
      <c r="H63" t="s">
        <v>297</v>
      </c>
      <c r="I63">
        <v>8</v>
      </c>
      <c r="J63">
        <v>0</v>
      </c>
      <c r="K63">
        <v>8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0</v>
      </c>
      <c r="U63">
        <v>1</v>
      </c>
      <c r="V63">
        <v>0</v>
      </c>
      <c r="W63">
        <v>0</v>
      </c>
      <c r="X63">
        <v>0</v>
      </c>
      <c r="Y63" t="s">
        <v>119</v>
      </c>
    </row>
    <row r="64" spans="1:25" x14ac:dyDescent="0.35">
      <c r="A64">
        <v>3166</v>
      </c>
      <c r="B64" t="s">
        <v>138</v>
      </c>
      <c r="C64" t="s">
        <v>119</v>
      </c>
      <c r="D64" t="s">
        <v>232</v>
      </c>
      <c r="E64">
        <v>1</v>
      </c>
      <c r="F64">
        <v>0</v>
      </c>
      <c r="G64">
        <v>0</v>
      </c>
      <c r="H64" t="s">
        <v>297</v>
      </c>
      <c r="I64">
        <v>7</v>
      </c>
      <c r="J64">
        <v>0</v>
      </c>
      <c r="K64">
        <v>7</v>
      </c>
      <c r="L64">
        <v>0</v>
      </c>
      <c r="M64">
        <v>0</v>
      </c>
      <c r="N64">
        <v>0</v>
      </c>
      <c r="O64">
        <v>2</v>
      </c>
      <c r="P64">
        <v>0</v>
      </c>
      <c r="Q64">
        <v>0</v>
      </c>
      <c r="R64">
        <v>0</v>
      </c>
      <c r="S64">
        <v>0</v>
      </c>
      <c r="T64">
        <v>1</v>
      </c>
      <c r="U64">
        <v>0</v>
      </c>
      <c r="V64">
        <v>0</v>
      </c>
      <c r="W64">
        <v>0</v>
      </c>
      <c r="X64">
        <v>0</v>
      </c>
      <c r="Y64" t="s">
        <v>119</v>
      </c>
    </row>
    <row r="65" spans="1:25" x14ac:dyDescent="0.35">
      <c r="A65">
        <v>3167</v>
      </c>
      <c r="B65" t="s">
        <v>138</v>
      </c>
      <c r="C65" t="s">
        <v>119</v>
      </c>
      <c r="D65" t="s">
        <v>232</v>
      </c>
      <c r="E65">
        <v>1</v>
      </c>
      <c r="F65">
        <v>0</v>
      </c>
      <c r="G65">
        <v>0</v>
      </c>
      <c r="H65" t="s">
        <v>297</v>
      </c>
      <c r="I65">
        <v>6</v>
      </c>
      <c r="J65">
        <v>1</v>
      </c>
      <c r="K65">
        <v>6</v>
      </c>
      <c r="L65">
        <v>0</v>
      </c>
      <c r="M65">
        <v>3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 t="s">
        <v>119</v>
      </c>
    </row>
    <row r="66" spans="1:25" x14ac:dyDescent="0.35">
      <c r="A66">
        <v>3169</v>
      </c>
      <c r="B66" t="s">
        <v>138</v>
      </c>
      <c r="C66" t="s">
        <v>119</v>
      </c>
      <c r="D66" t="s">
        <v>232</v>
      </c>
      <c r="E66">
        <v>1</v>
      </c>
      <c r="F66">
        <v>0</v>
      </c>
      <c r="G66">
        <v>0</v>
      </c>
      <c r="H66" t="s">
        <v>297</v>
      </c>
      <c r="I66">
        <v>7</v>
      </c>
      <c r="J66">
        <v>0</v>
      </c>
      <c r="K66">
        <v>7</v>
      </c>
      <c r="L66">
        <v>0</v>
      </c>
      <c r="M66">
        <v>0</v>
      </c>
      <c r="N66">
        <v>0</v>
      </c>
      <c r="O66">
        <v>2</v>
      </c>
      <c r="P66">
        <v>0</v>
      </c>
      <c r="Q66">
        <v>0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 t="s">
        <v>119</v>
      </c>
    </row>
    <row r="67" spans="1:25" x14ac:dyDescent="0.35">
      <c r="A67">
        <v>3171</v>
      </c>
      <c r="B67" t="s">
        <v>138</v>
      </c>
      <c r="C67" t="s">
        <v>119</v>
      </c>
      <c r="D67" t="s">
        <v>232</v>
      </c>
      <c r="E67">
        <v>0</v>
      </c>
      <c r="F67">
        <v>0</v>
      </c>
      <c r="G67">
        <v>0</v>
      </c>
      <c r="H67" t="s">
        <v>297</v>
      </c>
      <c r="I67">
        <v>8</v>
      </c>
      <c r="J67">
        <v>0</v>
      </c>
      <c r="K67">
        <v>8</v>
      </c>
      <c r="L67">
        <v>0</v>
      </c>
      <c r="M67">
        <v>1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1</v>
      </c>
      <c r="W67">
        <v>0</v>
      </c>
      <c r="X67">
        <v>0</v>
      </c>
      <c r="Y67" t="s">
        <v>119</v>
      </c>
    </row>
    <row r="68" spans="1:25" x14ac:dyDescent="0.35">
      <c r="A68">
        <v>3175</v>
      </c>
      <c r="B68" t="s">
        <v>138</v>
      </c>
      <c r="C68" t="s">
        <v>119</v>
      </c>
      <c r="D68" t="s">
        <v>232</v>
      </c>
      <c r="E68">
        <v>1</v>
      </c>
      <c r="F68">
        <v>0</v>
      </c>
      <c r="G68">
        <v>0</v>
      </c>
      <c r="H68" t="s">
        <v>297</v>
      </c>
      <c r="I68">
        <v>6</v>
      </c>
      <c r="J68">
        <v>0</v>
      </c>
      <c r="K68">
        <v>6</v>
      </c>
      <c r="L68">
        <v>0</v>
      </c>
      <c r="M68">
        <v>0</v>
      </c>
      <c r="N68">
        <v>2</v>
      </c>
      <c r="O68">
        <v>2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 t="s">
        <v>119</v>
      </c>
    </row>
    <row r="69" spans="1:25" x14ac:dyDescent="0.35">
      <c r="A69">
        <v>3291</v>
      </c>
      <c r="B69" t="s">
        <v>138</v>
      </c>
      <c r="C69" t="s">
        <v>10</v>
      </c>
      <c r="D69" t="s">
        <v>232</v>
      </c>
      <c r="E69">
        <v>0</v>
      </c>
      <c r="F69">
        <v>0</v>
      </c>
      <c r="G69">
        <v>0</v>
      </c>
      <c r="H69" t="s">
        <v>297</v>
      </c>
      <c r="I69">
        <v>8</v>
      </c>
      <c r="J69">
        <v>8</v>
      </c>
      <c r="K69">
        <v>0</v>
      </c>
      <c r="L69">
        <v>0</v>
      </c>
      <c r="M69">
        <v>0</v>
      </c>
      <c r="N69">
        <v>0</v>
      </c>
      <c r="O69">
        <v>0</v>
      </c>
      <c r="P69">
        <v>1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 t="s">
        <v>119</v>
      </c>
    </row>
    <row r="70" spans="1:25" x14ac:dyDescent="0.35">
      <c r="A70">
        <v>3321</v>
      </c>
      <c r="B70" t="s">
        <v>138</v>
      </c>
      <c r="C70" t="s">
        <v>119</v>
      </c>
      <c r="D70" t="s">
        <v>232</v>
      </c>
      <c r="E70">
        <v>1</v>
      </c>
      <c r="F70">
        <v>0</v>
      </c>
      <c r="G70">
        <v>0</v>
      </c>
      <c r="H70" t="s">
        <v>297</v>
      </c>
      <c r="I70">
        <v>5</v>
      </c>
      <c r="J70">
        <v>0</v>
      </c>
      <c r="K70">
        <v>5</v>
      </c>
      <c r="L70">
        <v>0</v>
      </c>
      <c r="M70">
        <v>0</v>
      </c>
      <c r="N70">
        <v>4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 t="s">
        <v>119</v>
      </c>
    </row>
    <row r="71" spans="1:25" x14ac:dyDescent="0.35">
      <c r="A71">
        <v>3369</v>
      </c>
      <c r="B71" t="s">
        <v>138</v>
      </c>
      <c r="C71" t="s">
        <v>119</v>
      </c>
      <c r="D71" t="s">
        <v>232</v>
      </c>
      <c r="E71">
        <v>0</v>
      </c>
      <c r="F71">
        <v>0</v>
      </c>
      <c r="G71">
        <v>0</v>
      </c>
      <c r="H71" t="s">
        <v>297</v>
      </c>
      <c r="I71">
        <v>7</v>
      </c>
      <c r="J71">
        <v>1</v>
      </c>
      <c r="K71">
        <v>7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2</v>
      </c>
      <c r="W71">
        <v>0</v>
      </c>
      <c r="X71">
        <v>0</v>
      </c>
      <c r="Y71" t="s">
        <v>119</v>
      </c>
    </row>
    <row r="72" spans="1:25" x14ac:dyDescent="0.35">
      <c r="A72">
        <v>3755</v>
      </c>
      <c r="B72" t="s">
        <v>138</v>
      </c>
      <c r="C72" t="s">
        <v>119</v>
      </c>
      <c r="D72" t="s">
        <v>232</v>
      </c>
      <c r="E72">
        <v>1</v>
      </c>
      <c r="F72">
        <v>0</v>
      </c>
      <c r="G72">
        <v>0</v>
      </c>
      <c r="H72" t="s">
        <v>297</v>
      </c>
      <c r="I72">
        <v>6</v>
      </c>
      <c r="J72">
        <v>0</v>
      </c>
      <c r="K72">
        <v>6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2</v>
      </c>
      <c r="U72">
        <v>0</v>
      </c>
      <c r="V72">
        <v>2</v>
      </c>
      <c r="W72">
        <v>0</v>
      </c>
      <c r="X72">
        <v>0</v>
      </c>
      <c r="Y72" t="s">
        <v>119</v>
      </c>
    </row>
    <row r="73" spans="1:25" x14ac:dyDescent="0.35">
      <c r="A73">
        <v>3760</v>
      </c>
      <c r="B73" t="s">
        <v>138</v>
      </c>
      <c r="C73" t="s">
        <v>119</v>
      </c>
      <c r="D73" t="s">
        <v>232</v>
      </c>
      <c r="E73">
        <v>0</v>
      </c>
      <c r="F73">
        <v>0</v>
      </c>
      <c r="G73">
        <v>1</v>
      </c>
      <c r="H73" t="s">
        <v>297</v>
      </c>
      <c r="I73">
        <v>5</v>
      </c>
      <c r="J73">
        <v>0</v>
      </c>
      <c r="K73">
        <v>5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2</v>
      </c>
      <c r="T73">
        <v>0</v>
      </c>
      <c r="U73">
        <v>0</v>
      </c>
      <c r="V73">
        <v>3</v>
      </c>
      <c r="W73">
        <v>0</v>
      </c>
      <c r="X73">
        <v>0</v>
      </c>
      <c r="Y73" t="s">
        <v>119</v>
      </c>
    </row>
    <row r="74" spans="1:25" x14ac:dyDescent="0.35">
      <c r="A74">
        <v>3765</v>
      </c>
      <c r="B74" t="s">
        <v>138</v>
      </c>
      <c r="C74" t="s">
        <v>119</v>
      </c>
      <c r="D74" t="s">
        <v>232</v>
      </c>
      <c r="E74">
        <v>1</v>
      </c>
      <c r="F74">
        <v>0</v>
      </c>
      <c r="G74">
        <v>0</v>
      </c>
      <c r="H74" t="s">
        <v>297</v>
      </c>
      <c r="I74">
        <v>6</v>
      </c>
      <c r="J74">
        <v>1</v>
      </c>
      <c r="K74">
        <v>6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3</v>
      </c>
      <c r="W74">
        <v>0</v>
      </c>
      <c r="X74">
        <v>0</v>
      </c>
      <c r="Y74" t="s">
        <v>119</v>
      </c>
    </row>
    <row r="75" spans="1:25" x14ac:dyDescent="0.35">
      <c r="A75">
        <v>3767</v>
      </c>
      <c r="B75" t="s">
        <v>138</v>
      </c>
      <c r="C75" t="s">
        <v>119</v>
      </c>
      <c r="D75" t="s">
        <v>232</v>
      </c>
      <c r="E75">
        <v>0</v>
      </c>
      <c r="F75">
        <v>0</v>
      </c>
      <c r="G75">
        <v>0</v>
      </c>
      <c r="H75" t="s">
        <v>297</v>
      </c>
      <c r="I75">
        <v>7</v>
      </c>
      <c r="J75">
        <v>0</v>
      </c>
      <c r="K75">
        <v>7</v>
      </c>
      <c r="L75">
        <v>0</v>
      </c>
      <c r="M75">
        <v>0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2</v>
      </c>
      <c r="W75">
        <v>0</v>
      </c>
      <c r="X75">
        <v>0</v>
      </c>
      <c r="Y75" t="s">
        <v>119</v>
      </c>
    </row>
    <row r="76" spans="1:25" x14ac:dyDescent="0.35">
      <c r="A76">
        <v>3806</v>
      </c>
      <c r="B76" t="s">
        <v>138</v>
      </c>
      <c r="C76" t="s">
        <v>10</v>
      </c>
      <c r="D76" t="s">
        <v>232</v>
      </c>
      <c r="E76">
        <v>1</v>
      </c>
      <c r="F76">
        <v>0</v>
      </c>
      <c r="G76">
        <v>1</v>
      </c>
      <c r="H76" t="s">
        <v>297</v>
      </c>
      <c r="I76">
        <v>7</v>
      </c>
      <c r="J76">
        <v>7</v>
      </c>
      <c r="K76">
        <v>2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</v>
      </c>
      <c r="W76">
        <v>0</v>
      </c>
      <c r="X76">
        <v>0</v>
      </c>
      <c r="Y76" t="s">
        <v>119</v>
      </c>
    </row>
    <row r="77" spans="1:25" x14ac:dyDescent="0.35">
      <c r="A77">
        <v>3818</v>
      </c>
      <c r="B77" t="s">
        <v>138</v>
      </c>
      <c r="C77" t="s">
        <v>10</v>
      </c>
      <c r="D77" t="s">
        <v>232</v>
      </c>
      <c r="E77">
        <v>1</v>
      </c>
      <c r="F77">
        <v>0</v>
      </c>
      <c r="G77">
        <v>1</v>
      </c>
      <c r="H77" t="s">
        <v>297</v>
      </c>
      <c r="I77">
        <v>6</v>
      </c>
      <c r="J77">
        <v>6</v>
      </c>
      <c r="K77">
        <v>2</v>
      </c>
      <c r="L77">
        <v>2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 t="s">
        <v>119</v>
      </c>
    </row>
    <row r="78" spans="1:25" x14ac:dyDescent="0.35">
      <c r="A78">
        <v>3158</v>
      </c>
      <c r="B78" t="s">
        <v>145</v>
      </c>
      <c r="C78" t="s">
        <v>3</v>
      </c>
      <c r="D78" t="s">
        <v>312</v>
      </c>
      <c r="E78">
        <v>0</v>
      </c>
      <c r="F78">
        <v>0</v>
      </c>
      <c r="G78">
        <v>0</v>
      </c>
      <c r="H78" t="s">
        <v>297</v>
      </c>
      <c r="I78">
        <v>8</v>
      </c>
      <c r="J78">
        <v>0</v>
      </c>
      <c r="K78">
        <v>0</v>
      </c>
      <c r="L78">
        <v>1</v>
      </c>
      <c r="M78">
        <v>0</v>
      </c>
      <c r="N78">
        <v>0</v>
      </c>
      <c r="O78">
        <v>1</v>
      </c>
      <c r="P78">
        <v>0</v>
      </c>
      <c r="Q78">
        <v>0</v>
      </c>
      <c r="R78">
        <v>0</v>
      </c>
      <c r="S78">
        <v>8</v>
      </c>
      <c r="T78">
        <v>0</v>
      </c>
      <c r="U78">
        <v>0</v>
      </c>
      <c r="V78">
        <v>0</v>
      </c>
      <c r="W78">
        <v>0</v>
      </c>
      <c r="X78">
        <v>0</v>
      </c>
      <c r="Y78" t="s">
        <v>12</v>
      </c>
    </row>
    <row r="79" spans="1:25" x14ac:dyDescent="0.35">
      <c r="A79">
        <v>3161</v>
      </c>
      <c r="B79" t="s">
        <v>145</v>
      </c>
      <c r="C79" t="s">
        <v>3</v>
      </c>
      <c r="D79" t="s">
        <v>312</v>
      </c>
      <c r="E79">
        <v>1</v>
      </c>
      <c r="F79">
        <v>0</v>
      </c>
      <c r="G79">
        <v>0</v>
      </c>
      <c r="H79" t="s">
        <v>297</v>
      </c>
      <c r="I79">
        <v>8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8</v>
      </c>
      <c r="T79">
        <v>1</v>
      </c>
      <c r="U79">
        <v>1</v>
      </c>
      <c r="V79">
        <v>0</v>
      </c>
      <c r="W79">
        <v>0</v>
      </c>
      <c r="X79">
        <v>0</v>
      </c>
      <c r="Y79" t="s">
        <v>12</v>
      </c>
    </row>
    <row r="80" spans="1:25" x14ac:dyDescent="0.35">
      <c r="A80">
        <v>3202</v>
      </c>
      <c r="B80" t="s">
        <v>145</v>
      </c>
      <c r="C80" t="s">
        <v>3</v>
      </c>
      <c r="D80" t="s">
        <v>312</v>
      </c>
      <c r="E80">
        <v>1</v>
      </c>
      <c r="F80">
        <v>1</v>
      </c>
      <c r="G80">
        <v>0</v>
      </c>
      <c r="H80" t="s">
        <v>297</v>
      </c>
      <c r="I80">
        <v>6</v>
      </c>
      <c r="J80">
        <v>1</v>
      </c>
      <c r="K80">
        <v>0</v>
      </c>
      <c r="L80">
        <v>3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6</v>
      </c>
      <c r="T80">
        <v>0</v>
      </c>
      <c r="U80">
        <v>0</v>
      </c>
      <c r="V80">
        <v>0</v>
      </c>
      <c r="W80">
        <v>0</v>
      </c>
      <c r="X80">
        <v>0</v>
      </c>
      <c r="Y80" t="s">
        <v>12</v>
      </c>
    </row>
    <row r="81" spans="1:25" x14ac:dyDescent="0.35">
      <c r="A81">
        <v>3293</v>
      </c>
      <c r="B81" t="s">
        <v>145</v>
      </c>
      <c r="C81" t="s">
        <v>3</v>
      </c>
      <c r="D81" t="s">
        <v>312</v>
      </c>
      <c r="E81">
        <v>0</v>
      </c>
      <c r="F81">
        <v>0</v>
      </c>
      <c r="G81">
        <v>0</v>
      </c>
      <c r="H81" t="s">
        <v>297</v>
      </c>
      <c r="I81">
        <v>8</v>
      </c>
      <c r="J81">
        <v>0</v>
      </c>
      <c r="K81">
        <v>0</v>
      </c>
      <c r="L81">
        <v>1</v>
      </c>
      <c r="M81">
        <v>0</v>
      </c>
      <c r="N81">
        <v>0</v>
      </c>
      <c r="O81">
        <v>1</v>
      </c>
      <c r="P81">
        <v>0</v>
      </c>
      <c r="Q81">
        <v>0</v>
      </c>
      <c r="R81">
        <v>0</v>
      </c>
      <c r="S81">
        <v>8</v>
      </c>
      <c r="T81">
        <v>0</v>
      </c>
      <c r="U81">
        <v>0</v>
      </c>
      <c r="V81">
        <v>0</v>
      </c>
      <c r="W81">
        <v>0</v>
      </c>
      <c r="X81">
        <v>0</v>
      </c>
      <c r="Y81" t="s">
        <v>12</v>
      </c>
    </row>
    <row r="82" spans="1:25" x14ac:dyDescent="0.35">
      <c r="A82">
        <v>3298</v>
      </c>
      <c r="B82" t="s">
        <v>145</v>
      </c>
      <c r="C82" t="s">
        <v>3</v>
      </c>
      <c r="D82" t="s">
        <v>312</v>
      </c>
      <c r="E82">
        <v>0</v>
      </c>
      <c r="F82">
        <v>0</v>
      </c>
      <c r="G82">
        <v>0</v>
      </c>
      <c r="H82" t="s">
        <v>297</v>
      </c>
      <c r="I82">
        <v>7</v>
      </c>
      <c r="J82">
        <v>0</v>
      </c>
      <c r="K82">
        <v>0</v>
      </c>
      <c r="L82">
        <v>0</v>
      </c>
      <c r="M82">
        <v>0</v>
      </c>
      <c r="N82">
        <v>1</v>
      </c>
      <c r="O82">
        <v>2</v>
      </c>
      <c r="P82">
        <v>0</v>
      </c>
      <c r="Q82">
        <v>0</v>
      </c>
      <c r="R82">
        <v>0</v>
      </c>
      <c r="S82">
        <v>7</v>
      </c>
      <c r="T82">
        <v>0</v>
      </c>
      <c r="U82">
        <v>0</v>
      </c>
      <c r="V82">
        <v>0</v>
      </c>
      <c r="W82">
        <v>0</v>
      </c>
      <c r="X82">
        <v>0</v>
      </c>
      <c r="Y82" t="s">
        <v>12</v>
      </c>
    </row>
    <row r="83" spans="1:25" x14ac:dyDescent="0.35">
      <c r="A83">
        <v>3490</v>
      </c>
      <c r="B83" t="s">
        <v>145</v>
      </c>
      <c r="C83" t="s">
        <v>3</v>
      </c>
      <c r="D83" t="s">
        <v>312</v>
      </c>
      <c r="E83">
        <v>1</v>
      </c>
      <c r="F83">
        <v>0</v>
      </c>
      <c r="G83">
        <v>0</v>
      </c>
      <c r="H83" t="s">
        <v>297</v>
      </c>
      <c r="I83">
        <v>8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8</v>
      </c>
      <c r="T83">
        <v>0</v>
      </c>
      <c r="U83">
        <v>1</v>
      </c>
      <c r="V83">
        <v>0</v>
      </c>
      <c r="W83">
        <v>1</v>
      </c>
      <c r="X83">
        <v>0</v>
      </c>
      <c r="Y83" t="s">
        <v>12</v>
      </c>
    </row>
    <row r="84" spans="1:25" x14ac:dyDescent="0.35">
      <c r="A84">
        <v>3491</v>
      </c>
      <c r="B84" t="s">
        <v>145</v>
      </c>
      <c r="C84" t="s">
        <v>3</v>
      </c>
      <c r="D84" t="s">
        <v>312</v>
      </c>
      <c r="E84">
        <v>0</v>
      </c>
      <c r="F84">
        <v>1</v>
      </c>
      <c r="G84">
        <v>0</v>
      </c>
      <c r="H84" t="s">
        <v>297</v>
      </c>
      <c r="I84">
        <v>5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2</v>
      </c>
      <c r="R84">
        <v>0</v>
      </c>
      <c r="S84">
        <v>5</v>
      </c>
      <c r="T84">
        <v>3</v>
      </c>
      <c r="U84">
        <v>0</v>
      </c>
      <c r="V84">
        <v>0</v>
      </c>
      <c r="W84">
        <v>0</v>
      </c>
      <c r="X84">
        <v>0</v>
      </c>
      <c r="Y84" t="s">
        <v>12</v>
      </c>
    </row>
    <row r="85" spans="1:25" x14ac:dyDescent="0.35">
      <c r="A85">
        <v>3502</v>
      </c>
      <c r="B85" t="s">
        <v>145</v>
      </c>
      <c r="C85" t="s">
        <v>3</v>
      </c>
      <c r="D85" t="s">
        <v>312</v>
      </c>
      <c r="E85">
        <v>1</v>
      </c>
      <c r="F85">
        <v>0</v>
      </c>
      <c r="G85">
        <v>0</v>
      </c>
      <c r="H85" t="s">
        <v>297</v>
      </c>
      <c r="I85">
        <v>8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</v>
      </c>
      <c r="Q85">
        <v>0</v>
      </c>
      <c r="R85">
        <v>0</v>
      </c>
      <c r="S85">
        <v>8</v>
      </c>
      <c r="T85">
        <v>0</v>
      </c>
      <c r="U85">
        <v>0</v>
      </c>
      <c r="V85">
        <v>0</v>
      </c>
      <c r="W85">
        <v>0</v>
      </c>
      <c r="X85">
        <v>1</v>
      </c>
      <c r="Y85" t="s">
        <v>12</v>
      </c>
    </row>
    <row r="86" spans="1:25" x14ac:dyDescent="0.35">
      <c r="A86">
        <v>3548</v>
      </c>
      <c r="B86" t="s">
        <v>145</v>
      </c>
      <c r="C86" t="s">
        <v>3</v>
      </c>
      <c r="D86" t="s">
        <v>312</v>
      </c>
      <c r="E86">
        <v>0</v>
      </c>
      <c r="F86">
        <v>0</v>
      </c>
      <c r="G86">
        <v>0</v>
      </c>
      <c r="H86" t="s">
        <v>297</v>
      </c>
      <c r="I86">
        <v>7</v>
      </c>
      <c r="J86">
        <v>0</v>
      </c>
      <c r="K86">
        <v>0</v>
      </c>
      <c r="L86">
        <v>2</v>
      </c>
      <c r="M86">
        <v>0</v>
      </c>
      <c r="N86">
        <v>0</v>
      </c>
      <c r="O86">
        <v>1</v>
      </c>
      <c r="P86">
        <v>0</v>
      </c>
      <c r="Q86">
        <v>0</v>
      </c>
      <c r="R86">
        <v>0</v>
      </c>
      <c r="S86">
        <v>7</v>
      </c>
      <c r="T86">
        <v>0</v>
      </c>
      <c r="U86">
        <v>0</v>
      </c>
      <c r="V86">
        <v>0</v>
      </c>
      <c r="W86">
        <v>0</v>
      </c>
      <c r="X86">
        <v>0</v>
      </c>
      <c r="Y86" t="s">
        <v>12</v>
      </c>
    </row>
    <row r="87" spans="1:25" x14ac:dyDescent="0.35">
      <c r="A87">
        <v>3662</v>
      </c>
      <c r="B87" t="s">
        <v>145</v>
      </c>
      <c r="C87" t="s">
        <v>3</v>
      </c>
      <c r="D87" t="s">
        <v>312</v>
      </c>
      <c r="E87">
        <v>0</v>
      </c>
      <c r="F87">
        <v>0</v>
      </c>
      <c r="G87">
        <v>0</v>
      </c>
      <c r="H87" t="s">
        <v>297</v>
      </c>
      <c r="I87">
        <v>5</v>
      </c>
      <c r="J87">
        <v>2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5</v>
      </c>
      <c r="T87">
        <v>3</v>
      </c>
      <c r="U87">
        <v>0</v>
      </c>
      <c r="V87">
        <v>0</v>
      </c>
      <c r="W87">
        <v>0</v>
      </c>
      <c r="X87">
        <v>0</v>
      </c>
      <c r="Y87" t="s">
        <v>12</v>
      </c>
    </row>
    <row r="88" spans="1:25" x14ac:dyDescent="0.35">
      <c r="A88">
        <v>3690</v>
      </c>
      <c r="B88" t="s">
        <v>145</v>
      </c>
      <c r="C88" t="s">
        <v>3</v>
      </c>
      <c r="D88" t="s">
        <v>312</v>
      </c>
      <c r="E88">
        <v>1</v>
      </c>
      <c r="F88">
        <v>0</v>
      </c>
      <c r="G88">
        <v>0</v>
      </c>
      <c r="H88" t="s">
        <v>297</v>
      </c>
      <c r="I88">
        <v>6</v>
      </c>
      <c r="J88">
        <v>0</v>
      </c>
      <c r="K88">
        <v>0</v>
      </c>
      <c r="L88">
        <v>0</v>
      </c>
      <c r="M88">
        <v>0</v>
      </c>
      <c r="N88">
        <v>3</v>
      </c>
      <c r="O88">
        <v>1</v>
      </c>
      <c r="P88">
        <v>0</v>
      </c>
      <c r="Q88">
        <v>0</v>
      </c>
      <c r="R88">
        <v>0</v>
      </c>
      <c r="S88">
        <v>6</v>
      </c>
      <c r="T88">
        <v>0</v>
      </c>
      <c r="U88">
        <v>0</v>
      </c>
      <c r="V88">
        <v>0</v>
      </c>
      <c r="W88">
        <v>0</v>
      </c>
      <c r="X88">
        <v>0</v>
      </c>
      <c r="Y88" t="s">
        <v>12</v>
      </c>
    </row>
    <row r="89" spans="1:25" x14ac:dyDescent="0.35">
      <c r="A89">
        <v>3748</v>
      </c>
      <c r="B89" t="s">
        <v>145</v>
      </c>
      <c r="C89" t="s">
        <v>3</v>
      </c>
      <c r="D89" t="s">
        <v>312</v>
      </c>
      <c r="E89">
        <v>0</v>
      </c>
      <c r="F89">
        <v>0</v>
      </c>
      <c r="G89">
        <v>0</v>
      </c>
      <c r="H89" t="s">
        <v>297</v>
      </c>
      <c r="I89">
        <v>6</v>
      </c>
      <c r="J89">
        <v>0</v>
      </c>
      <c r="K89">
        <v>0</v>
      </c>
      <c r="L89">
        <v>0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6</v>
      </c>
      <c r="T89">
        <v>3</v>
      </c>
      <c r="U89">
        <v>0</v>
      </c>
      <c r="V89">
        <v>0</v>
      </c>
      <c r="W89">
        <v>0</v>
      </c>
      <c r="X89">
        <v>0</v>
      </c>
      <c r="Y89" t="s">
        <v>12</v>
      </c>
    </row>
    <row r="90" spans="1:25" x14ac:dyDescent="0.35">
      <c r="A90">
        <v>3769</v>
      </c>
      <c r="B90" t="s">
        <v>145</v>
      </c>
      <c r="C90" t="s">
        <v>3</v>
      </c>
      <c r="D90" t="s">
        <v>312</v>
      </c>
      <c r="E90">
        <v>0</v>
      </c>
      <c r="F90">
        <v>0</v>
      </c>
      <c r="G90">
        <v>0</v>
      </c>
      <c r="H90" t="s">
        <v>297</v>
      </c>
      <c r="I90">
        <v>6</v>
      </c>
      <c r="J90">
        <v>0</v>
      </c>
      <c r="K90">
        <v>0</v>
      </c>
      <c r="L90">
        <v>0</v>
      </c>
      <c r="M90">
        <v>0</v>
      </c>
      <c r="N90">
        <v>2</v>
      </c>
      <c r="O90">
        <v>2</v>
      </c>
      <c r="P90">
        <v>0</v>
      </c>
      <c r="Q90">
        <v>0</v>
      </c>
      <c r="R90">
        <v>0</v>
      </c>
      <c r="S90">
        <v>6</v>
      </c>
      <c r="T90">
        <v>0</v>
      </c>
      <c r="U90">
        <v>0</v>
      </c>
      <c r="V90">
        <v>0</v>
      </c>
      <c r="W90">
        <v>0</v>
      </c>
      <c r="X90">
        <v>0</v>
      </c>
      <c r="Y90" t="s">
        <v>12</v>
      </c>
    </row>
    <row r="91" spans="1:25" x14ac:dyDescent="0.35">
      <c r="A91">
        <v>3772</v>
      </c>
      <c r="B91" t="s">
        <v>145</v>
      </c>
      <c r="C91" t="s">
        <v>3</v>
      </c>
      <c r="D91" t="s">
        <v>312</v>
      </c>
      <c r="E91">
        <v>0</v>
      </c>
      <c r="F91">
        <v>0</v>
      </c>
      <c r="G91">
        <v>0</v>
      </c>
      <c r="H91" t="s">
        <v>297</v>
      </c>
      <c r="I91">
        <v>5</v>
      </c>
      <c r="J91">
        <v>0</v>
      </c>
      <c r="K91">
        <v>0</v>
      </c>
      <c r="L91">
        <v>2</v>
      </c>
      <c r="M91">
        <v>0</v>
      </c>
      <c r="N91">
        <v>0</v>
      </c>
      <c r="O91">
        <v>0</v>
      </c>
      <c r="P91">
        <v>0</v>
      </c>
      <c r="Q91">
        <v>0</v>
      </c>
      <c r="R91">
        <v>3</v>
      </c>
      <c r="S91">
        <v>5</v>
      </c>
      <c r="T91">
        <v>0</v>
      </c>
      <c r="U91">
        <v>0</v>
      </c>
      <c r="V91">
        <v>0</v>
      </c>
      <c r="W91">
        <v>0</v>
      </c>
      <c r="X91">
        <v>0</v>
      </c>
      <c r="Y91" t="s">
        <v>12</v>
      </c>
    </row>
    <row r="92" spans="1:25" x14ac:dyDescent="0.35">
      <c r="A92">
        <v>3822</v>
      </c>
      <c r="B92" t="s">
        <v>145</v>
      </c>
      <c r="C92" t="s">
        <v>3</v>
      </c>
      <c r="D92" t="s">
        <v>312</v>
      </c>
      <c r="E92">
        <v>0</v>
      </c>
      <c r="F92">
        <v>0</v>
      </c>
      <c r="G92">
        <v>0</v>
      </c>
      <c r="H92" t="s">
        <v>297</v>
      </c>
      <c r="I92">
        <v>8</v>
      </c>
      <c r="J92">
        <v>0</v>
      </c>
      <c r="K92">
        <v>0</v>
      </c>
      <c r="L92">
        <v>0</v>
      </c>
      <c r="M92">
        <v>1</v>
      </c>
      <c r="N92">
        <v>0</v>
      </c>
      <c r="O92">
        <v>0</v>
      </c>
      <c r="P92">
        <v>0</v>
      </c>
      <c r="Q92">
        <v>0</v>
      </c>
      <c r="R92">
        <v>0</v>
      </c>
      <c r="S92">
        <v>8</v>
      </c>
      <c r="T92">
        <v>0</v>
      </c>
      <c r="U92">
        <v>1</v>
      </c>
      <c r="V92">
        <v>0</v>
      </c>
      <c r="W92">
        <v>0</v>
      </c>
      <c r="X92">
        <v>0</v>
      </c>
      <c r="Y92" t="s">
        <v>12</v>
      </c>
    </row>
    <row r="93" spans="1:25" x14ac:dyDescent="0.35">
      <c r="A93">
        <v>3825</v>
      </c>
      <c r="B93" t="s">
        <v>145</v>
      </c>
      <c r="C93" t="s">
        <v>3</v>
      </c>
      <c r="D93" t="s">
        <v>312</v>
      </c>
      <c r="E93">
        <v>0</v>
      </c>
      <c r="F93">
        <v>1</v>
      </c>
      <c r="G93">
        <v>0</v>
      </c>
      <c r="H93" t="s">
        <v>297</v>
      </c>
      <c r="I93">
        <v>5</v>
      </c>
      <c r="J93">
        <v>0</v>
      </c>
      <c r="K93">
        <v>0</v>
      </c>
      <c r="L93">
        <v>0</v>
      </c>
      <c r="M93">
        <v>4</v>
      </c>
      <c r="N93">
        <v>0</v>
      </c>
      <c r="O93">
        <v>0</v>
      </c>
      <c r="P93">
        <v>0</v>
      </c>
      <c r="Q93">
        <v>1</v>
      </c>
      <c r="R93">
        <v>0</v>
      </c>
      <c r="S93">
        <v>5</v>
      </c>
      <c r="T93">
        <v>0</v>
      </c>
      <c r="U93">
        <v>0</v>
      </c>
      <c r="V93">
        <v>0</v>
      </c>
      <c r="W93">
        <v>0</v>
      </c>
      <c r="X93">
        <v>0</v>
      </c>
      <c r="Y93" t="s">
        <v>12</v>
      </c>
    </row>
    <row r="94" spans="1:25" x14ac:dyDescent="0.35">
      <c r="A94">
        <v>3069</v>
      </c>
      <c r="B94" t="s">
        <v>122</v>
      </c>
      <c r="C94" t="s">
        <v>7</v>
      </c>
      <c r="D94" t="s">
        <v>292</v>
      </c>
      <c r="E94">
        <v>0</v>
      </c>
      <c r="F94">
        <v>1</v>
      </c>
      <c r="G94">
        <v>0</v>
      </c>
      <c r="H94" t="s">
        <v>297</v>
      </c>
      <c r="I94">
        <v>8</v>
      </c>
      <c r="J94">
        <v>0</v>
      </c>
      <c r="K94">
        <v>0</v>
      </c>
      <c r="L94">
        <v>0</v>
      </c>
      <c r="M94">
        <v>0</v>
      </c>
      <c r="N94">
        <v>1</v>
      </c>
      <c r="O94">
        <v>8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V94">
        <v>0</v>
      </c>
      <c r="W94">
        <v>0</v>
      </c>
      <c r="X94">
        <v>0</v>
      </c>
      <c r="Y94" t="s">
        <v>7</v>
      </c>
    </row>
    <row r="95" spans="1:25" x14ac:dyDescent="0.35">
      <c r="A95">
        <v>3076</v>
      </c>
      <c r="B95" t="s">
        <v>122</v>
      </c>
      <c r="C95" t="s">
        <v>7</v>
      </c>
      <c r="D95" t="s">
        <v>292</v>
      </c>
      <c r="E95">
        <v>0</v>
      </c>
      <c r="F95">
        <v>0</v>
      </c>
      <c r="G95">
        <v>0</v>
      </c>
      <c r="H95" t="s">
        <v>297</v>
      </c>
      <c r="I95">
        <v>5</v>
      </c>
      <c r="J95">
        <v>0</v>
      </c>
      <c r="K95">
        <v>0</v>
      </c>
      <c r="L95">
        <v>0</v>
      </c>
      <c r="M95">
        <v>0</v>
      </c>
      <c r="N95">
        <v>4</v>
      </c>
      <c r="O95">
        <v>5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 t="s">
        <v>7</v>
      </c>
    </row>
    <row r="96" spans="1:25" x14ac:dyDescent="0.35">
      <c r="A96">
        <v>3098</v>
      </c>
      <c r="B96" t="s">
        <v>122</v>
      </c>
      <c r="C96" t="s">
        <v>7</v>
      </c>
      <c r="D96" t="s">
        <v>292</v>
      </c>
      <c r="E96">
        <v>1</v>
      </c>
      <c r="F96">
        <v>0</v>
      </c>
      <c r="G96">
        <v>0</v>
      </c>
      <c r="H96" t="s">
        <v>297</v>
      </c>
      <c r="I96">
        <v>5</v>
      </c>
      <c r="J96">
        <v>0</v>
      </c>
      <c r="K96">
        <v>0</v>
      </c>
      <c r="L96">
        <v>0</v>
      </c>
      <c r="M96">
        <v>0</v>
      </c>
      <c r="N96">
        <v>3</v>
      </c>
      <c r="O96">
        <v>5</v>
      </c>
      <c r="P96">
        <v>0</v>
      </c>
      <c r="Q96">
        <v>0</v>
      </c>
      <c r="R96">
        <v>2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 t="s">
        <v>7</v>
      </c>
    </row>
    <row r="97" spans="1:25" x14ac:dyDescent="0.35">
      <c r="A97">
        <v>3099</v>
      </c>
      <c r="B97" t="s">
        <v>122</v>
      </c>
      <c r="C97" t="s">
        <v>7</v>
      </c>
      <c r="D97" t="s">
        <v>292</v>
      </c>
      <c r="E97">
        <v>1</v>
      </c>
      <c r="F97">
        <v>0</v>
      </c>
      <c r="G97">
        <v>0</v>
      </c>
      <c r="H97" t="s">
        <v>297</v>
      </c>
      <c r="I97">
        <v>7</v>
      </c>
      <c r="J97">
        <v>0</v>
      </c>
      <c r="K97">
        <v>0</v>
      </c>
      <c r="L97">
        <v>0</v>
      </c>
      <c r="M97">
        <v>0</v>
      </c>
      <c r="N97">
        <v>2</v>
      </c>
      <c r="O97">
        <v>7</v>
      </c>
      <c r="P97">
        <v>0</v>
      </c>
      <c r="Q97">
        <v>0</v>
      </c>
      <c r="R97">
        <v>0</v>
      </c>
      <c r="S97">
        <v>0</v>
      </c>
      <c r="T97">
        <v>0</v>
      </c>
      <c r="U97">
        <v>1</v>
      </c>
      <c r="V97">
        <v>0</v>
      </c>
      <c r="W97">
        <v>0</v>
      </c>
      <c r="X97">
        <v>0</v>
      </c>
      <c r="Y97" t="s">
        <v>7</v>
      </c>
    </row>
    <row r="98" spans="1:25" x14ac:dyDescent="0.35">
      <c r="A98">
        <v>3109</v>
      </c>
      <c r="B98" t="s">
        <v>122</v>
      </c>
      <c r="C98" t="s">
        <v>7</v>
      </c>
      <c r="D98" t="s">
        <v>292</v>
      </c>
      <c r="E98">
        <v>0</v>
      </c>
      <c r="F98">
        <v>0</v>
      </c>
      <c r="G98">
        <v>0</v>
      </c>
      <c r="H98" t="s">
        <v>297</v>
      </c>
      <c r="I98">
        <v>8</v>
      </c>
      <c r="J98">
        <v>0</v>
      </c>
      <c r="K98">
        <v>1</v>
      </c>
      <c r="L98">
        <v>0</v>
      </c>
      <c r="M98">
        <v>0</v>
      </c>
      <c r="N98">
        <v>0</v>
      </c>
      <c r="O98">
        <v>8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0</v>
      </c>
      <c r="Y98" t="s">
        <v>7</v>
      </c>
    </row>
    <row r="99" spans="1:25" x14ac:dyDescent="0.35">
      <c r="A99">
        <v>3112</v>
      </c>
      <c r="B99" t="s">
        <v>122</v>
      </c>
      <c r="C99" t="s">
        <v>7</v>
      </c>
      <c r="D99" t="s">
        <v>292</v>
      </c>
      <c r="E99">
        <v>1</v>
      </c>
      <c r="F99">
        <v>0</v>
      </c>
      <c r="G99">
        <v>0</v>
      </c>
      <c r="H99" t="s">
        <v>297</v>
      </c>
      <c r="I99">
        <v>7</v>
      </c>
      <c r="J99">
        <v>0</v>
      </c>
      <c r="K99">
        <v>0</v>
      </c>
      <c r="L99">
        <v>0</v>
      </c>
      <c r="M99">
        <v>2</v>
      </c>
      <c r="N99">
        <v>0</v>
      </c>
      <c r="O99">
        <v>7</v>
      </c>
      <c r="P99">
        <v>0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 t="s">
        <v>7</v>
      </c>
    </row>
    <row r="100" spans="1:25" x14ac:dyDescent="0.35">
      <c r="A100">
        <v>3282</v>
      </c>
      <c r="B100" t="s">
        <v>122</v>
      </c>
      <c r="C100" t="s">
        <v>2</v>
      </c>
      <c r="D100" t="s">
        <v>292</v>
      </c>
      <c r="E100">
        <v>0</v>
      </c>
      <c r="F100">
        <v>0</v>
      </c>
      <c r="G100">
        <v>0</v>
      </c>
      <c r="H100" t="s">
        <v>297</v>
      </c>
      <c r="I100">
        <v>6</v>
      </c>
      <c r="J100">
        <v>0</v>
      </c>
      <c r="K100">
        <v>0</v>
      </c>
      <c r="L100">
        <v>0</v>
      </c>
      <c r="M100">
        <v>2</v>
      </c>
      <c r="N100">
        <v>2</v>
      </c>
      <c r="O100">
        <v>0</v>
      </c>
      <c r="P100">
        <v>0</v>
      </c>
      <c r="Q100">
        <v>6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 t="s">
        <v>7</v>
      </c>
    </row>
    <row r="101" spans="1:25" x14ac:dyDescent="0.35">
      <c r="A101">
        <v>3452</v>
      </c>
      <c r="B101" t="s">
        <v>122</v>
      </c>
      <c r="C101" t="s">
        <v>7</v>
      </c>
      <c r="D101" t="s">
        <v>292</v>
      </c>
      <c r="E101">
        <v>0</v>
      </c>
      <c r="F101">
        <v>1</v>
      </c>
      <c r="G101">
        <v>0</v>
      </c>
      <c r="H101" t="s">
        <v>297</v>
      </c>
      <c r="I101">
        <v>7</v>
      </c>
      <c r="J101">
        <v>0</v>
      </c>
      <c r="K101">
        <v>0</v>
      </c>
      <c r="L101">
        <v>0</v>
      </c>
      <c r="M101">
        <v>0</v>
      </c>
      <c r="N101">
        <v>1</v>
      </c>
      <c r="O101">
        <v>7</v>
      </c>
      <c r="P101">
        <v>0</v>
      </c>
      <c r="Q101">
        <v>0</v>
      </c>
      <c r="R101">
        <v>0</v>
      </c>
      <c r="S101">
        <v>2</v>
      </c>
      <c r="T101">
        <v>0</v>
      </c>
      <c r="U101">
        <v>0</v>
      </c>
      <c r="V101">
        <v>0</v>
      </c>
      <c r="W101">
        <v>0</v>
      </c>
      <c r="X101">
        <v>0</v>
      </c>
      <c r="Y101" t="s">
        <v>7</v>
      </c>
    </row>
    <row r="102" spans="1:25" x14ac:dyDescent="0.35">
      <c r="A102">
        <v>3458</v>
      </c>
      <c r="B102" t="s">
        <v>122</v>
      </c>
      <c r="C102" t="s">
        <v>7</v>
      </c>
      <c r="D102" t="s">
        <v>292</v>
      </c>
      <c r="E102">
        <v>1</v>
      </c>
      <c r="F102">
        <v>0</v>
      </c>
      <c r="G102">
        <v>0</v>
      </c>
      <c r="H102" t="s">
        <v>297</v>
      </c>
      <c r="I102">
        <v>5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5</v>
      </c>
      <c r="P102">
        <v>0</v>
      </c>
      <c r="Q102">
        <v>1</v>
      </c>
      <c r="R102">
        <v>0</v>
      </c>
      <c r="S102">
        <v>4</v>
      </c>
      <c r="T102">
        <v>0</v>
      </c>
      <c r="U102">
        <v>0</v>
      </c>
      <c r="V102">
        <v>0</v>
      </c>
      <c r="W102">
        <v>0</v>
      </c>
      <c r="X102">
        <v>0</v>
      </c>
      <c r="Y102" t="s">
        <v>7</v>
      </c>
    </row>
    <row r="103" spans="1:25" x14ac:dyDescent="0.35">
      <c r="A103">
        <v>3463</v>
      </c>
      <c r="B103" t="s">
        <v>122</v>
      </c>
      <c r="C103" t="s">
        <v>7</v>
      </c>
      <c r="D103" t="s">
        <v>292</v>
      </c>
      <c r="E103">
        <v>0</v>
      </c>
      <c r="F103">
        <v>1</v>
      </c>
      <c r="G103">
        <v>0</v>
      </c>
      <c r="H103" t="s">
        <v>297</v>
      </c>
      <c r="I103">
        <v>7</v>
      </c>
      <c r="J103">
        <v>0</v>
      </c>
      <c r="K103">
        <v>0</v>
      </c>
      <c r="L103">
        <v>0</v>
      </c>
      <c r="M103">
        <v>0</v>
      </c>
      <c r="N103">
        <v>1</v>
      </c>
      <c r="O103">
        <v>7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2</v>
      </c>
      <c r="V103">
        <v>0</v>
      </c>
      <c r="W103">
        <v>0</v>
      </c>
      <c r="X103">
        <v>0</v>
      </c>
      <c r="Y103" t="s">
        <v>7</v>
      </c>
    </row>
    <row r="104" spans="1:25" x14ac:dyDescent="0.35">
      <c r="A104">
        <v>3663</v>
      </c>
      <c r="B104" t="s">
        <v>122</v>
      </c>
      <c r="C104" t="s">
        <v>2</v>
      </c>
      <c r="D104" t="s">
        <v>292</v>
      </c>
      <c r="E104">
        <v>0</v>
      </c>
      <c r="F104">
        <v>0</v>
      </c>
      <c r="G104">
        <v>0</v>
      </c>
      <c r="H104" t="s">
        <v>297</v>
      </c>
      <c r="I104">
        <v>8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8</v>
      </c>
      <c r="R104">
        <v>0</v>
      </c>
      <c r="S104">
        <v>1</v>
      </c>
      <c r="T104">
        <v>1</v>
      </c>
      <c r="U104">
        <v>0</v>
      </c>
      <c r="V104">
        <v>0</v>
      </c>
      <c r="W104">
        <v>0</v>
      </c>
      <c r="X104">
        <v>0</v>
      </c>
      <c r="Y104" t="s">
        <v>7</v>
      </c>
    </row>
    <row r="105" spans="1:25" x14ac:dyDescent="0.35">
      <c r="A105">
        <v>3723</v>
      </c>
      <c r="B105" t="s">
        <v>122</v>
      </c>
      <c r="C105" t="s">
        <v>7</v>
      </c>
      <c r="D105" t="s">
        <v>292</v>
      </c>
      <c r="E105">
        <v>0</v>
      </c>
      <c r="F105">
        <v>0</v>
      </c>
      <c r="G105">
        <v>1</v>
      </c>
      <c r="H105" t="s">
        <v>297</v>
      </c>
      <c r="I105">
        <v>6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6</v>
      </c>
      <c r="P105">
        <v>0</v>
      </c>
      <c r="Q105">
        <v>1</v>
      </c>
      <c r="R105">
        <v>0</v>
      </c>
      <c r="S105">
        <v>3</v>
      </c>
      <c r="T105">
        <v>0</v>
      </c>
      <c r="U105">
        <v>0</v>
      </c>
      <c r="V105">
        <v>0</v>
      </c>
      <c r="W105">
        <v>0</v>
      </c>
      <c r="X105">
        <v>0</v>
      </c>
      <c r="Y105" t="s">
        <v>7</v>
      </c>
    </row>
    <row r="106" spans="1:25" x14ac:dyDescent="0.35">
      <c r="A106">
        <v>3725</v>
      </c>
      <c r="B106" t="s">
        <v>122</v>
      </c>
      <c r="C106" t="s">
        <v>7</v>
      </c>
      <c r="D106" t="s">
        <v>292</v>
      </c>
      <c r="E106">
        <v>1</v>
      </c>
      <c r="F106">
        <v>1</v>
      </c>
      <c r="G106">
        <v>0</v>
      </c>
      <c r="H106" t="s">
        <v>297</v>
      </c>
      <c r="I106">
        <v>6</v>
      </c>
      <c r="J106">
        <v>0</v>
      </c>
      <c r="K106">
        <v>0</v>
      </c>
      <c r="L106">
        <v>0</v>
      </c>
      <c r="M106">
        <v>0</v>
      </c>
      <c r="N106">
        <v>3</v>
      </c>
      <c r="O106">
        <v>6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1</v>
      </c>
      <c r="W106">
        <v>0</v>
      </c>
      <c r="X106">
        <v>0</v>
      </c>
      <c r="Y106" t="s">
        <v>7</v>
      </c>
    </row>
    <row r="107" spans="1:25" x14ac:dyDescent="0.35">
      <c r="A107">
        <v>3727</v>
      </c>
      <c r="B107" t="s">
        <v>122</v>
      </c>
      <c r="C107" t="s">
        <v>7</v>
      </c>
      <c r="D107" t="s">
        <v>292</v>
      </c>
      <c r="E107">
        <v>1</v>
      </c>
      <c r="F107">
        <v>0</v>
      </c>
      <c r="G107">
        <v>1</v>
      </c>
      <c r="H107" t="s">
        <v>297</v>
      </c>
      <c r="I107">
        <v>5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5</v>
      </c>
      <c r="P107">
        <v>0</v>
      </c>
      <c r="Q107">
        <v>1</v>
      </c>
      <c r="R107">
        <v>0</v>
      </c>
      <c r="S107">
        <v>4</v>
      </c>
      <c r="T107">
        <v>0</v>
      </c>
      <c r="U107">
        <v>0</v>
      </c>
      <c r="V107">
        <v>0</v>
      </c>
      <c r="W107">
        <v>0</v>
      </c>
      <c r="X107">
        <v>0</v>
      </c>
      <c r="Y107" t="s">
        <v>7</v>
      </c>
    </row>
    <row r="108" spans="1:25" x14ac:dyDescent="0.35">
      <c r="A108">
        <v>3733</v>
      </c>
      <c r="B108" t="s">
        <v>122</v>
      </c>
      <c r="C108" t="s">
        <v>7</v>
      </c>
      <c r="D108" t="s">
        <v>292</v>
      </c>
      <c r="E108">
        <v>0</v>
      </c>
      <c r="F108">
        <v>0</v>
      </c>
      <c r="G108">
        <v>0</v>
      </c>
      <c r="H108" t="s">
        <v>297</v>
      </c>
      <c r="I108">
        <v>6</v>
      </c>
      <c r="J108">
        <v>0</v>
      </c>
      <c r="K108">
        <v>0</v>
      </c>
      <c r="L108">
        <v>0</v>
      </c>
      <c r="M108">
        <v>1</v>
      </c>
      <c r="N108">
        <v>0</v>
      </c>
      <c r="O108">
        <v>6</v>
      </c>
      <c r="P108">
        <v>0</v>
      </c>
      <c r="Q108">
        <v>0</v>
      </c>
      <c r="R108">
        <v>0</v>
      </c>
      <c r="S108">
        <v>3</v>
      </c>
      <c r="T108">
        <v>0</v>
      </c>
      <c r="U108">
        <v>0</v>
      </c>
      <c r="V108">
        <v>0</v>
      </c>
      <c r="W108">
        <v>0</v>
      </c>
      <c r="X108">
        <v>0</v>
      </c>
      <c r="Y108" t="s">
        <v>7</v>
      </c>
    </row>
    <row r="109" spans="1:25" x14ac:dyDescent="0.35">
      <c r="A109">
        <v>3792</v>
      </c>
      <c r="B109" t="s">
        <v>122</v>
      </c>
      <c r="C109" t="s">
        <v>7</v>
      </c>
      <c r="D109" t="s">
        <v>292</v>
      </c>
      <c r="E109">
        <v>0</v>
      </c>
      <c r="F109">
        <v>0</v>
      </c>
      <c r="G109">
        <v>1</v>
      </c>
      <c r="H109" t="s">
        <v>297</v>
      </c>
      <c r="I109">
        <v>8</v>
      </c>
      <c r="J109">
        <v>0</v>
      </c>
      <c r="K109">
        <v>0</v>
      </c>
      <c r="L109">
        <v>0</v>
      </c>
      <c r="M109">
        <v>0</v>
      </c>
      <c r="N109">
        <v>1</v>
      </c>
      <c r="O109">
        <v>8</v>
      </c>
      <c r="P109">
        <v>0</v>
      </c>
      <c r="Q109">
        <v>0</v>
      </c>
      <c r="R109">
        <v>1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t="s">
        <v>7</v>
      </c>
    </row>
    <row r="110" spans="1:25" x14ac:dyDescent="0.35">
      <c r="A110">
        <v>3793</v>
      </c>
      <c r="B110" t="s">
        <v>122</v>
      </c>
      <c r="C110" t="s">
        <v>7</v>
      </c>
      <c r="D110" t="s">
        <v>292</v>
      </c>
      <c r="E110">
        <v>1</v>
      </c>
      <c r="F110">
        <v>0</v>
      </c>
      <c r="G110">
        <v>0</v>
      </c>
      <c r="H110" t="s">
        <v>297</v>
      </c>
      <c r="I110">
        <v>7</v>
      </c>
      <c r="J110">
        <v>0</v>
      </c>
      <c r="K110">
        <v>0</v>
      </c>
      <c r="L110">
        <v>0</v>
      </c>
      <c r="M110">
        <v>0</v>
      </c>
      <c r="N110">
        <v>2</v>
      </c>
      <c r="O110">
        <v>7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 t="s">
        <v>7</v>
      </c>
    </row>
    <row r="111" spans="1:25" x14ac:dyDescent="0.35">
      <c r="A111">
        <v>3794</v>
      </c>
      <c r="B111" t="s">
        <v>122</v>
      </c>
      <c r="C111" t="s">
        <v>7</v>
      </c>
      <c r="D111" t="s">
        <v>292</v>
      </c>
      <c r="E111">
        <v>0</v>
      </c>
      <c r="F111">
        <v>0</v>
      </c>
      <c r="G111">
        <v>0</v>
      </c>
      <c r="H111" t="s">
        <v>297</v>
      </c>
      <c r="I111">
        <v>5</v>
      </c>
      <c r="J111">
        <v>0</v>
      </c>
      <c r="K111">
        <v>0</v>
      </c>
      <c r="L111">
        <v>0</v>
      </c>
      <c r="M111">
        <v>0</v>
      </c>
      <c r="N111">
        <v>3</v>
      </c>
      <c r="O111">
        <v>5</v>
      </c>
      <c r="P111">
        <v>0</v>
      </c>
      <c r="Q111">
        <v>0</v>
      </c>
      <c r="R111">
        <v>0</v>
      </c>
      <c r="S111">
        <v>2</v>
      </c>
      <c r="T111">
        <v>0</v>
      </c>
      <c r="U111">
        <v>0</v>
      </c>
      <c r="V111">
        <v>0</v>
      </c>
      <c r="W111">
        <v>0</v>
      </c>
      <c r="X111">
        <v>0</v>
      </c>
      <c r="Y111" t="s">
        <v>7</v>
      </c>
    </row>
    <row r="112" spans="1:25" x14ac:dyDescent="0.35">
      <c r="A112">
        <v>3795</v>
      </c>
      <c r="B112" t="s">
        <v>122</v>
      </c>
      <c r="C112" t="s">
        <v>7</v>
      </c>
      <c r="D112" t="s">
        <v>292</v>
      </c>
      <c r="E112">
        <v>0</v>
      </c>
      <c r="F112">
        <v>0</v>
      </c>
      <c r="G112">
        <v>0</v>
      </c>
      <c r="H112" t="s">
        <v>297</v>
      </c>
      <c r="I112">
        <v>5</v>
      </c>
      <c r="J112">
        <v>0</v>
      </c>
      <c r="K112">
        <v>0</v>
      </c>
      <c r="L112">
        <v>0</v>
      </c>
      <c r="M112">
        <v>0</v>
      </c>
      <c r="N112">
        <v>4</v>
      </c>
      <c r="O112">
        <v>5</v>
      </c>
      <c r="P112">
        <v>0</v>
      </c>
      <c r="Q112">
        <v>0</v>
      </c>
      <c r="R112">
        <v>1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t="s">
        <v>7</v>
      </c>
    </row>
    <row r="113" spans="1:25" x14ac:dyDescent="0.35">
      <c r="A113">
        <v>3796</v>
      </c>
      <c r="B113" t="s">
        <v>122</v>
      </c>
      <c r="C113" t="s">
        <v>7</v>
      </c>
      <c r="D113" t="s">
        <v>292</v>
      </c>
      <c r="E113">
        <v>0</v>
      </c>
      <c r="F113">
        <v>1</v>
      </c>
      <c r="G113">
        <v>0</v>
      </c>
      <c r="H113" t="s">
        <v>297</v>
      </c>
      <c r="I113">
        <v>8</v>
      </c>
      <c r="J113">
        <v>0</v>
      </c>
      <c r="K113">
        <v>0</v>
      </c>
      <c r="L113">
        <v>0</v>
      </c>
      <c r="M113">
        <v>0</v>
      </c>
      <c r="N113">
        <v>1</v>
      </c>
      <c r="O113">
        <v>8</v>
      </c>
      <c r="P113">
        <v>0</v>
      </c>
      <c r="Q113">
        <v>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 t="s">
        <v>7</v>
      </c>
    </row>
    <row r="114" spans="1:25" x14ac:dyDescent="0.35">
      <c r="A114">
        <v>3804</v>
      </c>
      <c r="B114" t="s">
        <v>122</v>
      </c>
      <c r="C114" t="s">
        <v>7</v>
      </c>
      <c r="D114" t="s">
        <v>292</v>
      </c>
      <c r="E114">
        <v>0</v>
      </c>
      <c r="F114">
        <v>0</v>
      </c>
      <c r="G114">
        <v>1</v>
      </c>
      <c r="H114" t="s">
        <v>297</v>
      </c>
      <c r="I114">
        <v>5</v>
      </c>
      <c r="J114">
        <v>0</v>
      </c>
      <c r="K114">
        <v>0</v>
      </c>
      <c r="L114">
        <v>0</v>
      </c>
      <c r="M114">
        <v>0</v>
      </c>
      <c r="N114">
        <v>3</v>
      </c>
      <c r="O114">
        <v>5</v>
      </c>
      <c r="P114">
        <v>0</v>
      </c>
      <c r="Q114">
        <v>0</v>
      </c>
      <c r="R114">
        <v>0</v>
      </c>
      <c r="S114">
        <v>2</v>
      </c>
      <c r="T114">
        <v>0</v>
      </c>
      <c r="U114">
        <v>0</v>
      </c>
      <c r="V114">
        <v>0</v>
      </c>
      <c r="W114">
        <v>0</v>
      </c>
      <c r="X114">
        <v>0</v>
      </c>
      <c r="Y114" t="s">
        <v>7</v>
      </c>
    </row>
    <row r="115" spans="1:25" x14ac:dyDescent="0.35">
      <c r="A115">
        <v>3071</v>
      </c>
      <c r="B115" t="s">
        <v>125</v>
      </c>
      <c r="C115" t="s">
        <v>7</v>
      </c>
      <c r="D115" t="s">
        <v>208</v>
      </c>
      <c r="E115">
        <v>1</v>
      </c>
      <c r="F115">
        <v>0</v>
      </c>
      <c r="G115">
        <v>0</v>
      </c>
      <c r="H115" t="s">
        <v>297</v>
      </c>
      <c r="I115">
        <v>5</v>
      </c>
      <c r="J115">
        <v>0</v>
      </c>
      <c r="K115">
        <v>0</v>
      </c>
      <c r="L115">
        <v>0</v>
      </c>
      <c r="M115">
        <v>0</v>
      </c>
      <c r="N115">
        <v>4</v>
      </c>
      <c r="O115">
        <v>5</v>
      </c>
      <c r="P115">
        <v>0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0</v>
      </c>
      <c r="W115">
        <v>0</v>
      </c>
      <c r="X115">
        <v>0</v>
      </c>
      <c r="Y115" t="s">
        <v>7</v>
      </c>
    </row>
    <row r="116" spans="1:25" x14ac:dyDescent="0.35">
      <c r="A116">
        <v>3095</v>
      </c>
      <c r="B116" t="s">
        <v>125</v>
      </c>
      <c r="C116" t="s">
        <v>7</v>
      </c>
      <c r="D116" t="s">
        <v>208</v>
      </c>
      <c r="E116">
        <v>0</v>
      </c>
      <c r="F116">
        <v>0</v>
      </c>
      <c r="G116">
        <v>0</v>
      </c>
      <c r="H116" t="s">
        <v>297</v>
      </c>
      <c r="I116">
        <v>6</v>
      </c>
      <c r="J116">
        <v>0</v>
      </c>
      <c r="K116">
        <v>2</v>
      </c>
      <c r="L116">
        <v>0</v>
      </c>
      <c r="M116">
        <v>0</v>
      </c>
      <c r="N116">
        <v>0</v>
      </c>
      <c r="O116">
        <v>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2</v>
      </c>
      <c r="W116">
        <v>0</v>
      </c>
      <c r="X116">
        <v>0</v>
      </c>
      <c r="Y116" t="s">
        <v>7</v>
      </c>
    </row>
    <row r="117" spans="1:25" x14ac:dyDescent="0.35">
      <c r="A117">
        <v>3103</v>
      </c>
      <c r="B117" t="s">
        <v>125</v>
      </c>
      <c r="C117" t="s">
        <v>7</v>
      </c>
      <c r="D117" t="s">
        <v>208</v>
      </c>
      <c r="E117">
        <v>0</v>
      </c>
      <c r="F117">
        <v>0</v>
      </c>
      <c r="G117">
        <v>0</v>
      </c>
      <c r="H117" t="s">
        <v>297</v>
      </c>
      <c r="I117">
        <v>5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5</v>
      </c>
      <c r="P117">
        <v>0</v>
      </c>
      <c r="Q117">
        <v>1</v>
      </c>
      <c r="R117">
        <v>0</v>
      </c>
      <c r="S117">
        <v>4</v>
      </c>
      <c r="T117">
        <v>0</v>
      </c>
      <c r="U117">
        <v>0</v>
      </c>
      <c r="V117">
        <v>0</v>
      </c>
      <c r="W117">
        <v>0</v>
      </c>
      <c r="X117">
        <v>0</v>
      </c>
      <c r="Y117" t="s">
        <v>7</v>
      </c>
    </row>
    <row r="118" spans="1:25" x14ac:dyDescent="0.35">
      <c r="A118">
        <v>3105</v>
      </c>
      <c r="B118" t="s">
        <v>125</v>
      </c>
      <c r="C118" t="s">
        <v>7</v>
      </c>
      <c r="D118" t="s">
        <v>208</v>
      </c>
      <c r="E118">
        <v>1</v>
      </c>
      <c r="F118">
        <v>0</v>
      </c>
      <c r="G118">
        <v>0</v>
      </c>
      <c r="H118" t="s">
        <v>297</v>
      </c>
      <c r="I118">
        <v>8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8</v>
      </c>
      <c r="P118">
        <v>1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 t="s">
        <v>7</v>
      </c>
    </row>
    <row r="119" spans="1:25" x14ac:dyDescent="0.35">
      <c r="A119">
        <v>3110</v>
      </c>
      <c r="B119" t="s">
        <v>125</v>
      </c>
      <c r="C119" t="s">
        <v>7</v>
      </c>
      <c r="D119" t="s">
        <v>208</v>
      </c>
      <c r="E119">
        <v>1</v>
      </c>
      <c r="F119">
        <v>0</v>
      </c>
      <c r="G119">
        <v>0</v>
      </c>
      <c r="H119" t="s">
        <v>297</v>
      </c>
      <c r="I119">
        <v>8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8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0</v>
      </c>
      <c r="W119">
        <v>0</v>
      </c>
      <c r="X119">
        <v>0</v>
      </c>
      <c r="Y119" t="s">
        <v>7</v>
      </c>
    </row>
    <row r="120" spans="1:25" x14ac:dyDescent="0.35">
      <c r="A120">
        <v>3159</v>
      </c>
      <c r="B120" t="s">
        <v>125</v>
      </c>
      <c r="C120" t="s">
        <v>7</v>
      </c>
      <c r="D120" t="s">
        <v>208</v>
      </c>
      <c r="E120">
        <v>0</v>
      </c>
      <c r="F120">
        <v>0</v>
      </c>
      <c r="G120">
        <v>1</v>
      </c>
      <c r="H120" t="s">
        <v>297</v>
      </c>
      <c r="I120">
        <v>6</v>
      </c>
      <c r="J120">
        <v>0</v>
      </c>
      <c r="K120">
        <v>0</v>
      </c>
      <c r="L120">
        <v>0</v>
      </c>
      <c r="M120">
        <v>0</v>
      </c>
      <c r="N120">
        <v>3</v>
      </c>
      <c r="O120">
        <v>6</v>
      </c>
      <c r="P120">
        <v>0</v>
      </c>
      <c r="Q120">
        <v>0</v>
      </c>
      <c r="R120">
        <v>1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t="s">
        <v>7</v>
      </c>
    </row>
    <row r="121" spans="1:25" x14ac:dyDescent="0.35">
      <c r="A121">
        <v>3234</v>
      </c>
      <c r="B121" t="s">
        <v>125</v>
      </c>
      <c r="C121" t="s">
        <v>7</v>
      </c>
      <c r="D121" t="s">
        <v>208</v>
      </c>
      <c r="E121">
        <v>0</v>
      </c>
      <c r="F121">
        <v>0</v>
      </c>
      <c r="G121">
        <v>0</v>
      </c>
      <c r="H121" t="s">
        <v>297</v>
      </c>
      <c r="I121">
        <v>8</v>
      </c>
      <c r="J121">
        <v>0</v>
      </c>
      <c r="K121">
        <v>0</v>
      </c>
      <c r="L121">
        <v>0</v>
      </c>
      <c r="M121">
        <v>0</v>
      </c>
      <c r="N121">
        <v>1</v>
      </c>
      <c r="O121">
        <v>8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0</v>
      </c>
      <c r="V121">
        <v>0</v>
      </c>
      <c r="W121">
        <v>0</v>
      </c>
      <c r="X121">
        <v>0</v>
      </c>
      <c r="Y121" t="s">
        <v>7</v>
      </c>
    </row>
    <row r="122" spans="1:25" x14ac:dyDescent="0.35">
      <c r="A122">
        <v>3453</v>
      </c>
      <c r="B122" t="s">
        <v>125</v>
      </c>
      <c r="C122" t="s">
        <v>7</v>
      </c>
      <c r="D122" t="s">
        <v>208</v>
      </c>
      <c r="E122">
        <v>0</v>
      </c>
      <c r="F122">
        <v>0</v>
      </c>
      <c r="G122">
        <v>0</v>
      </c>
      <c r="H122" t="s">
        <v>297</v>
      </c>
      <c r="I122">
        <v>7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7</v>
      </c>
      <c r="P122">
        <v>0</v>
      </c>
      <c r="Q122">
        <v>0</v>
      </c>
      <c r="R122">
        <v>0</v>
      </c>
      <c r="S122">
        <v>2</v>
      </c>
      <c r="T122">
        <v>1</v>
      </c>
      <c r="U122">
        <v>0</v>
      </c>
      <c r="V122">
        <v>0</v>
      </c>
      <c r="W122">
        <v>0</v>
      </c>
      <c r="X122">
        <v>0</v>
      </c>
      <c r="Y122" t="s">
        <v>7</v>
      </c>
    </row>
    <row r="123" spans="1:25" x14ac:dyDescent="0.35">
      <c r="A123">
        <v>3454</v>
      </c>
      <c r="B123" t="s">
        <v>125</v>
      </c>
      <c r="C123" t="s">
        <v>7</v>
      </c>
      <c r="D123" t="s">
        <v>208</v>
      </c>
      <c r="E123">
        <v>0</v>
      </c>
      <c r="F123">
        <v>0</v>
      </c>
      <c r="G123">
        <v>0</v>
      </c>
      <c r="H123" t="s">
        <v>297</v>
      </c>
      <c r="I123">
        <v>6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6</v>
      </c>
      <c r="P123">
        <v>0</v>
      </c>
      <c r="Q123">
        <v>0</v>
      </c>
      <c r="R123">
        <v>0</v>
      </c>
      <c r="S123">
        <v>2</v>
      </c>
      <c r="T123">
        <v>2</v>
      </c>
      <c r="U123">
        <v>0</v>
      </c>
      <c r="V123">
        <v>0</v>
      </c>
      <c r="W123">
        <v>0</v>
      </c>
      <c r="X123">
        <v>0</v>
      </c>
      <c r="Y123" t="s">
        <v>7</v>
      </c>
    </row>
    <row r="124" spans="1:25" x14ac:dyDescent="0.35">
      <c r="A124">
        <v>3459</v>
      </c>
      <c r="B124" t="s">
        <v>125</v>
      </c>
      <c r="C124" t="s">
        <v>7</v>
      </c>
      <c r="D124" t="s">
        <v>208</v>
      </c>
      <c r="E124">
        <v>0</v>
      </c>
      <c r="F124">
        <v>0</v>
      </c>
      <c r="G124">
        <v>0</v>
      </c>
      <c r="H124" t="s">
        <v>297</v>
      </c>
      <c r="I124">
        <v>6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6</v>
      </c>
      <c r="P124">
        <v>0</v>
      </c>
      <c r="Q124">
        <v>0</v>
      </c>
      <c r="R124">
        <v>0</v>
      </c>
      <c r="S124">
        <v>3</v>
      </c>
      <c r="T124">
        <v>0</v>
      </c>
      <c r="U124">
        <v>0</v>
      </c>
      <c r="V124">
        <v>0</v>
      </c>
      <c r="W124">
        <v>0</v>
      </c>
      <c r="X124">
        <v>0</v>
      </c>
      <c r="Y124" t="s">
        <v>7</v>
      </c>
    </row>
    <row r="125" spans="1:25" x14ac:dyDescent="0.35">
      <c r="A125">
        <v>3461</v>
      </c>
      <c r="B125" t="s">
        <v>125</v>
      </c>
      <c r="C125" t="s">
        <v>7</v>
      </c>
      <c r="D125" t="s">
        <v>208</v>
      </c>
      <c r="E125">
        <v>0</v>
      </c>
      <c r="F125">
        <v>0</v>
      </c>
      <c r="G125">
        <v>0</v>
      </c>
      <c r="H125" t="s">
        <v>297</v>
      </c>
      <c r="I125">
        <v>8</v>
      </c>
      <c r="J125">
        <v>0</v>
      </c>
      <c r="K125">
        <v>0</v>
      </c>
      <c r="L125">
        <v>0</v>
      </c>
      <c r="M125">
        <v>0</v>
      </c>
      <c r="N125">
        <v>1</v>
      </c>
      <c r="O125">
        <v>8</v>
      </c>
      <c r="P125">
        <v>0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 t="s">
        <v>7</v>
      </c>
    </row>
    <row r="126" spans="1:25" x14ac:dyDescent="0.35">
      <c r="A126">
        <v>3462</v>
      </c>
      <c r="B126" t="s">
        <v>125</v>
      </c>
      <c r="C126" t="s">
        <v>7</v>
      </c>
      <c r="D126" t="s">
        <v>208</v>
      </c>
      <c r="E126">
        <v>0</v>
      </c>
      <c r="F126">
        <v>0</v>
      </c>
      <c r="G126">
        <v>0</v>
      </c>
      <c r="H126" t="s">
        <v>297</v>
      </c>
      <c r="I126">
        <v>5</v>
      </c>
      <c r="J126">
        <v>0</v>
      </c>
      <c r="K126">
        <v>0</v>
      </c>
      <c r="L126">
        <v>0</v>
      </c>
      <c r="M126">
        <v>0</v>
      </c>
      <c r="N126">
        <v>2</v>
      </c>
      <c r="O126">
        <v>5</v>
      </c>
      <c r="P126">
        <v>0</v>
      </c>
      <c r="Q126">
        <v>0</v>
      </c>
      <c r="R126">
        <v>0</v>
      </c>
      <c r="S126">
        <v>0</v>
      </c>
      <c r="T126">
        <v>3</v>
      </c>
      <c r="U126">
        <v>0</v>
      </c>
      <c r="V126">
        <v>0</v>
      </c>
      <c r="W126">
        <v>0</v>
      </c>
      <c r="X126">
        <v>0</v>
      </c>
      <c r="Y126" t="s">
        <v>7</v>
      </c>
    </row>
    <row r="127" spans="1:25" x14ac:dyDescent="0.35">
      <c r="A127">
        <v>3719</v>
      </c>
      <c r="B127" t="s">
        <v>125</v>
      </c>
      <c r="C127" t="s">
        <v>7</v>
      </c>
      <c r="D127" t="s">
        <v>208</v>
      </c>
      <c r="E127">
        <v>0</v>
      </c>
      <c r="F127">
        <v>0</v>
      </c>
      <c r="G127">
        <v>0</v>
      </c>
      <c r="H127" t="s">
        <v>297</v>
      </c>
      <c r="I127">
        <v>5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5</v>
      </c>
      <c r="P127">
        <v>0</v>
      </c>
      <c r="Q127">
        <v>1</v>
      </c>
      <c r="R127">
        <v>0</v>
      </c>
      <c r="S127">
        <v>0</v>
      </c>
      <c r="T127">
        <v>0</v>
      </c>
      <c r="U127">
        <v>4</v>
      </c>
      <c r="V127">
        <v>0</v>
      </c>
      <c r="W127">
        <v>0</v>
      </c>
      <c r="X127">
        <v>0</v>
      </c>
      <c r="Y127" t="s">
        <v>7</v>
      </c>
    </row>
    <row r="128" spans="1:25" x14ac:dyDescent="0.35">
      <c r="A128">
        <v>3720</v>
      </c>
      <c r="B128" t="s">
        <v>125</v>
      </c>
      <c r="C128" t="s">
        <v>7</v>
      </c>
      <c r="D128" t="s">
        <v>208</v>
      </c>
      <c r="E128">
        <v>0</v>
      </c>
      <c r="F128">
        <v>0</v>
      </c>
      <c r="G128">
        <v>0</v>
      </c>
      <c r="H128" t="s">
        <v>297</v>
      </c>
      <c r="I128">
        <v>8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8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0</v>
      </c>
      <c r="V128">
        <v>0</v>
      </c>
      <c r="W128">
        <v>0</v>
      </c>
      <c r="X128">
        <v>0</v>
      </c>
      <c r="Y128" t="s">
        <v>7</v>
      </c>
    </row>
    <row r="129" spans="1:25" x14ac:dyDescent="0.35">
      <c r="A129">
        <v>3726</v>
      </c>
      <c r="B129" t="s">
        <v>125</v>
      </c>
      <c r="C129" t="s">
        <v>7</v>
      </c>
      <c r="D129" t="s">
        <v>208</v>
      </c>
      <c r="E129">
        <v>1</v>
      </c>
      <c r="F129">
        <v>0</v>
      </c>
      <c r="G129">
        <v>0</v>
      </c>
      <c r="H129" t="s">
        <v>297</v>
      </c>
      <c r="I129">
        <v>8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8</v>
      </c>
      <c r="P129">
        <v>0</v>
      </c>
      <c r="Q129">
        <v>0</v>
      </c>
      <c r="R129">
        <v>0</v>
      </c>
      <c r="S129">
        <v>2</v>
      </c>
      <c r="T129">
        <v>0</v>
      </c>
      <c r="U129">
        <v>0</v>
      </c>
      <c r="V129">
        <v>0</v>
      </c>
      <c r="W129">
        <v>0</v>
      </c>
      <c r="X129">
        <v>0</v>
      </c>
      <c r="Y129" t="s">
        <v>7</v>
      </c>
    </row>
    <row r="130" spans="1:25" x14ac:dyDescent="0.35">
      <c r="A130">
        <v>3728</v>
      </c>
      <c r="B130" t="s">
        <v>125</v>
      </c>
      <c r="C130" t="s">
        <v>7</v>
      </c>
      <c r="D130" t="s">
        <v>208</v>
      </c>
      <c r="E130">
        <v>0</v>
      </c>
      <c r="F130">
        <v>0</v>
      </c>
      <c r="G130">
        <v>0</v>
      </c>
      <c r="H130" t="s">
        <v>297</v>
      </c>
      <c r="I130">
        <v>6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6</v>
      </c>
      <c r="P130">
        <v>0</v>
      </c>
      <c r="Q130">
        <v>1</v>
      </c>
      <c r="R130">
        <v>0</v>
      </c>
      <c r="S130">
        <v>3</v>
      </c>
      <c r="T130">
        <v>0</v>
      </c>
      <c r="U130">
        <v>0</v>
      </c>
      <c r="V130">
        <v>0</v>
      </c>
      <c r="W130">
        <v>0</v>
      </c>
      <c r="X130">
        <v>0</v>
      </c>
      <c r="Y130" t="s">
        <v>7</v>
      </c>
    </row>
    <row r="131" spans="1:25" x14ac:dyDescent="0.35">
      <c r="A131">
        <v>3729</v>
      </c>
      <c r="B131" t="s">
        <v>125</v>
      </c>
      <c r="C131" t="s">
        <v>7</v>
      </c>
      <c r="D131" t="s">
        <v>208</v>
      </c>
      <c r="E131">
        <v>1</v>
      </c>
      <c r="F131">
        <v>0</v>
      </c>
      <c r="G131">
        <v>1</v>
      </c>
      <c r="H131" t="s">
        <v>297</v>
      </c>
      <c r="I131">
        <v>7</v>
      </c>
      <c r="J131">
        <v>0</v>
      </c>
      <c r="K131">
        <v>0</v>
      </c>
      <c r="L131">
        <v>0</v>
      </c>
      <c r="M131">
        <v>0</v>
      </c>
      <c r="N131">
        <v>1</v>
      </c>
      <c r="O131">
        <v>7</v>
      </c>
      <c r="P131">
        <v>0</v>
      </c>
      <c r="Q131">
        <v>0</v>
      </c>
      <c r="R131">
        <v>0</v>
      </c>
      <c r="S131">
        <v>2</v>
      </c>
      <c r="T131">
        <v>0</v>
      </c>
      <c r="U131">
        <v>0</v>
      </c>
      <c r="V131">
        <v>0</v>
      </c>
      <c r="W131">
        <v>0</v>
      </c>
      <c r="X131">
        <v>0</v>
      </c>
      <c r="Y131" t="s">
        <v>7</v>
      </c>
    </row>
    <row r="132" spans="1:25" x14ac:dyDescent="0.35">
      <c r="A132">
        <v>3731</v>
      </c>
      <c r="B132" t="s">
        <v>125</v>
      </c>
      <c r="C132" t="s">
        <v>7</v>
      </c>
      <c r="D132" t="s">
        <v>208</v>
      </c>
      <c r="E132">
        <v>1</v>
      </c>
      <c r="F132">
        <v>0</v>
      </c>
      <c r="G132">
        <v>0</v>
      </c>
      <c r="H132" t="s">
        <v>297</v>
      </c>
      <c r="I132">
        <v>8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8</v>
      </c>
      <c r="P132">
        <v>0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 t="s">
        <v>7</v>
      </c>
    </row>
    <row r="133" spans="1:25" x14ac:dyDescent="0.35">
      <c r="A133">
        <v>3787</v>
      </c>
      <c r="B133" t="s">
        <v>125</v>
      </c>
      <c r="C133" t="s">
        <v>7</v>
      </c>
      <c r="D133" t="s">
        <v>208</v>
      </c>
      <c r="E133">
        <v>1</v>
      </c>
      <c r="F133">
        <v>0</v>
      </c>
      <c r="G133">
        <v>0</v>
      </c>
      <c r="H133" t="s">
        <v>297</v>
      </c>
      <c r="I133">
        <v>5</v>
      </c>
      <c r="J133">
        <v>0</v>
      </c>
      <c r="K133">
        <v>0</v>
      </c>
      <c r="L133">
        <v>0</v>
      </c>
      <c r="M133">
        <v>2</v>
      </c>
      <c r="N133">
        <v>3</v>
      </c>
      <c r="O133">
        <v>5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 t="s">
        <v>7</v>
      </c>
    </row>
    <row r="134" spans="1:25" x14ac:dyDescent="0.35">
      <c r="A134">
        <v>3798</v>
      </c>
      <c r="B134" t="s">
        <v>125</v>
      </c>
      <c r="C134" t="s">
        <v>7</v>
      </c>
      <c r="D134" t="s">
        <v>208</v>
      </c>
      <c r="E134">
        <v>0</v>
      </c>
      <c r="F134">
        <v>0</v>
      </c>
      <c r="G134">
        <v>0</v>
      </c>
      <c r="H134" t="s">
        <v>297</v>
      </c>
      <c r="I134">
        <v>8</v>
      </c>
      <c r="J134">
        <v>0</v>
      </c>
      <c r="K134">
        <v>0</v>
      </c>
      <c r="L134">
        <v>0</v>
      </c>
      <c r="M134">
        <v>0</v>
      </c>
      <c r="N134">
        <v>1</v>
      </c>
      <c r="O134">
        <v>8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 t="s">
        <v>7</v>
      </c>
    </row>
    <row r="135" spans="1:25" x14ac:dyDescent="0.35">
      <c r="A135">
        <v>3801</v>
      </c>
      <c r="B135" t="s">
        <v>125</v>
      </c>
      <c r="C135" t="s">
        <v>7</v>
      </c>
      <c r="D135" t="s">
        <v>208</v>
      </c>
      <c r="E135">
        <v>1</v>
      </c>
      <c r="F135">
        <v>0</v>
      </c>
      <c r="G135">
        <v>0</v>
      </c>
      <c r="H135" t="s">
        <v>297</v>
      </c>
      <c r="I135">
        <v>6</v>
      </c>
      <c r="J135">
        <v>0</v>
      </c>
      <c r="K135">
        <v>0</v>
      </c>
      <c r="L135">
        <v>0</v>
      </c>
      <c r="M135">
        <v>0</v>
      </c>
      <c r="N135">
        <v>3</v>
      </c>
      <c r="O135">
        <v>6</v>
      </c>
      <c r="P135">
        <v>0</v>
      </c>
      <c r="Q135">
        <v>1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 t="s">
        <v>7</v>
      </c>
    </row>
    <row r="136" spans="1:25" x14ac:dyDescent="0.35">
      <c r="A136">
        <v>3207</v>
      </c>
      <c r="B136" t="s">
        <v>143</v>
      </c>
      <c r="C136" t="s">
        <v>12</v>
      </c>
      <c r="D136" t="s">
        <v>231</v>
      </c>
      <c r="E136">
        <v>0</v>
      </c>
      <c r="F136">
        <v>0</v>
      </c>
      <c r="G136">
        <v>1</v>
      </c>
      <c r="H136" t="s">
        <v>297</v>
      </c>
      <c r="I136">
        <v>3</v>
      </c>
      <c r="J136">
        <v>0</v>
      </c>
      <c r="K136">
        <v>0</v>
      </c>
      <c r="L136">
        <v>3</v>
      </c>
      <c r="M136">
        <v>0</v>
      </c>
      <c r="N136">
        <v>2</v>
      </c>
      <c r="O136">
        <v>0</v>
      </c>
      <c r="P136">
        <v>0</v>
      </c>
      <c r="Q136">
        <v>0</v>
      </c>
      <c r="R136">
        <v>0</v>
      </c>
      <c r="S136">
        <v>5</v>
      </c>
      <c r="T136">
        <v>0</v>
      </c>
      <c r="U136">
        <v>0</v>
      </c>
      <c r="V136">
        <v>0</v>
      </c>
      <c r="W136">
        <v>0</v>
      </c>
      <c r="X136">
        <v>0</v>
      </c>
      <c r="Y136" t="s">
        <v>12</v>
      </c>
    </row>
    <row r="137" spans="1:25" x14ac:dyDescent="0.35">
      <c r="A137">
        <v>3208</v>
      </c>
      <c r="B137" t="s">
        <v>143</v>
      </c>
      <c r="C137" t="s">
        <v>12</v>
      </c>
      <c r="D137" t="s">
        <v>231</v>
      </c>
      <c r="E137">
        <v>0</v>
      </c>
      <c r="F137">
        <v>0</v>
      </c>
      <c r="G137">
        <v>0</v>
      </c>
      <c r="H137" t="s">
        <v>297</v>
      </c>
      <c r="I137">
        <v>3</v>
      </c>
      <c r="J137">
        <v>2</v>
      </c>
      <c r="K137">
        <v>0</v>
      </c>
      <c r="L137">
        <v>3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5</v>
      </c>
      <c r="T137">
        <v>0</v>
      </c>
      <c r="U137">
        <v>0</v>
      </c>
      <c r="V137">
        <v>0</v>
      </c>
      <c r="W137">
        <v>0</v>
      </c>
      <c r="X137">
        <v>0</v>
      </c>
      <c r="Y137" t="s">
        <v>12</v>
      </c>
    </row>
    <row r="138" spans="1:25" x14ac:dyDescent="0.35">
      <c r="A138">
        <v>3212</v>
      </c>
      <c r="B138" t="s">
        <v>143</v>
      </c>
      <c r="C138" t="s">
        <v>12</v>
      </c>
      <c r="D138" t="s">
        <v>231</v>
      </c>
      <c r="E138">
        <v>0</v>
      </c>
      <c r="F138">
        <v>0</v>
      </c>
      <c r="G138">
        <v>0</v>
      </c>
      <c r="H138" t="s">
        <v>297</v>
      </c>
      <c r="I138">
        <v>3</v>
      </c>
      <c r="J138">
        <v>0</v>
      </c>
      <c r="K138">
        <v>0</v>
      </c>
      <c r="L138">
        <v>3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5</v>
      </c>
      <c r="T138">
        <v>2</v>
      </c>
      <c r="U138">
        <v>0</v>
      </c>
      <c r="V138">
        <v>0</v>
      </c>
      <c r="W138">
        <v>0</v>
      </c>
      <c r="X138">
        <v>0</v>
      </c>
      <c r="Y138" t="s">
        <v>12</v>
      </c>
    </row>
    <row r="139" spans="1:25" x14ac:dyDescent="0.35">
      <c r="A139">
        <v>3387</v>
      </c>
      <c r="B139" t="s">
        <v>143</v>
      </c>
      <c r="C139" t="s">
        <v>12</v>
      </c>
      <c r="D139" t="s">
        <v>231</v>
      </c>
      <c r="E139">
        <v>1</v>
      </c>
      <c r="F139">
        <v>0</v>
      </c>
      <c r="G139">
        <v>0</v>
      </c>
      <c r="H139" t="s">
        <v>297</v>
      </c>
      <c r="I139">
        <v>3</v>
      </c>
      <c r="J139">
        <v>0</v>
      </c>
      <c r="K139">
        <v>0</v>
      </c>
      <c r="L139">
        <v>3</v>
      </c>
      <c r="M139">
        <v>5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</v>
      </c>
      <c r="Y139" t="s">
        <v>12</v>
      </c>
    </row>
    <row r="140" spans="1:25" x14ac:dyDescent="0.35">
      <c r="A140">
        <v>3503</v>
      </c>
      <c r="B140" t="s">
        <v>143</v>
      </c>
      <c r="C140" t="s">
        <v>12</v>
      </c>
      <c r="D140" t="s">
        <v>231</v>
      </c>
      <c r="E140">
        <v>1</v>
      </c>
      <c r="F140">
        <v>0</v>
      </c>
      <c r="G140">
        <v>0</v>
      </c>
      <c r="H140" t="s">
        <v>297</v>
      </c>
      <c r="I140">
        <v>3</v>
      </c>
      <c r="J140">
        <v>0</v>
      </c>
      <c r="K140">
        <v>0</v>
      </c>
      <c r="L140">
        <v>3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2</v>
      </c>
      <c r="V140">
        <v>0</v>
      </c>
      <c r="W140">
        <v>0</v>
      </c>
      <c r="X140">
        <v>5</v>
      </c>
      <c r="Y140" t="s">
        <v>12</v>
      </c>
    </row>
    <row r="141" spans="1:25" x14ac:dyDescent="0.35">
      <c r="A141">
        <v>3519</v>
      </c>
      <c r="B141" t="s">
        <v>143</v>
      </c>
      <c r="C141" t="s">
        <v>12</v>
      </c>
      <c r="D141" t="s">
        <v>231</v>
      </c>
      <c r="E141">
        <v>0</v>
      </c>
      <c r="F141">
        <v>0</v>
      </c>
      <c r="G141">
        <v>0</v>
      </c>
      <c r="H141" t="s">
        <v>297</v>
      </c>
      <c r="I141">
        <v>6</v>
      </c>
      <c r="J141">
        <v>0</v>
      </c>
      <c r="K141">
        <v>0</v>
      </c>
      <c r="L141">
        <v>6</v>
      </c>
      <c r="M141">
        <v>0</v>
      </c>
      <c r="N141">
        <v>0</v>
      </c>
      <c r="O141">
        <v>1</v>
      </c>
      <c r="P141">
        <v>0</v>
      </c>
      <c r="Q141">
        <v>3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 t="s">
        <v>12</v>
      </c>
    </row>
    <row r="142" spans="1:25" x14ac:dyDescent="0.35">
      <c r="A142">
        <v>3526</v>
      </c>
      <c r="B142" t="s">
        <v>143</v>
      </c>
      <c r="C142" t="s">
        <v>12</v>
      </c>
      <c r="D142" t="s">
        <v>231</v>
      </c>
      <c r="E142">
        <v>0</v>
      </c>
      <c r="F142">
        <v>0</v>
      </c>
      <c r="G142">
        <v>1</v>
      </c>
      <c r="H142" t="s">
        <v>297</v>
      </c>
      <c r="I142">
        <v>7</v>
      </c>
      <c r="J142">
        <v>0</v>
      </c>
      <c r="K142">
        <v>0</v>
      </c>
      <c r="L142">
        <v>7</v>
      </c>
      <c r="M142">
        <v>0</v>
      </c>
      <c r="N142">
        <v>0</v>
      </c>
      <c r="O142">
        <v>0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0</v>
      </c>
      <c r="Y142" t="s">
        <v>12</v>
      </c>
    </row>
    <row r="143" spans="1:25" x14ac:dyDescent="0.35">
      <c r="A143">
        <v>3529</v>
      </c>
      <c r="B143" t="s">
        <v>143</v>
      </c>
      <c r="C143" t="s">
        <v>12</v>
      </c>
      <c r="D143" t="s">
        <v>231</v>
      </c>
      <c r="E143">
        <v>0</v>
      </c>
      <c r="F143">
        <v>0</v>
      </c>
      <c r="G143">
        <v>0</v>
      </c>
      <c r="H143" t="s">
        <v>297</v>
      </c>
      <c r="I143">
        <v>3</v>
      </c>
      <c r="J143">
        <v>0</v>
      </c>
      <c r="K143">
        <v>0</v>
      </c>
      <c r="L143">
        <v>3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6</v>
      </c>
      <c r="T143">
        <v>0</v>
      </c>
      <c r="U143">
        <v>0</v>
      </c>
      <c r="V143">
        <v>0</v>
      </c>
      <c r="W143">
        <v>0</v>
      </c>
      <c r="X143">
        <v>0</v>
      </c>
      <c r="Y143" t="s">
        <v>12</v>
      </c>
    </row>
    <row r="144" spans="1:25" x14ac:dyDescent="0.35">
      <c r="A144">
        <v>3610</v>
      </c>
      <c r="B144" t="s">
        <v>143</v>
      </c>
      <c r="C144" t="s">
        <v>9</v>
      </c>
      <c r="D144" t="s">
        <v>231</v>
      </c>
      <c r="E144">
        <v>1</v>
      </c>
      <c r="F144">
        <v>0</v>
      </c>
      <c r="G144">
        <v>0</v>
      </c>
      <c r="H144" t="s">
        <v>297</v>
      </c>
      <c r="I144">
        <v>2</v>
      </c>
      <c r="J144">
        <v>0</v>
      </c>
      <c r="K144">
        <v>0</v>
      </c>
      <c r="L144">
        <v>0</v>
      </c>
      <c r="M144">
        <v>0</v>
      </c>
      <c r="N144">
        <v>5</v>
      </c>
      <c r="O144">
        <v>3</v>
      </c>
      <c r="P144">
        <v>2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 t="s">
        <v>12</v>
      </c>
    </row>
    <row r="145" spans="1:25" x14ac:dyDescent="0.35">
      <c r="A145">
        <v>3640</v>
      </c>
      <c r="B145" t="s">
        <v>143</v>
      </c>
      <c r="C145" t="s">
        <v>12</v>
      </c>
      <c r="D145" t="s">
        <v>231</v>
      </c>
      <c r="E145">
        <v>1</v>
      </c>
      <c r="F145">
        <v>0</v>
      </c>
      <c r="G145">
        <v>0</v>
      </c>
      <c r="H145" t="s">
        <v>297</v>
      </c>
      <c r="I145">
        <v>7</v>
      </c>
      <c r="J145">
        <v>0</v>
      </c>
      <c r="K145">
        <v>0</v>
      </c>
      <c r="L145">
        <v>7</v>
      </c>
      <c r="M145">
        <v>0</v>
      </c>
      <c r="N145">
        <v>0</v>
      </c>
      <c r="O145">
        <v>0</v>
      </c>
      <c r="P145">
        <v>1</v>
      </c>
      <c r="Q145">
        <v>0</v>
      </c>
      <c r="R145">
        <v>0</v>
      </c>
      <c r="S145">
        <v>2</v>
      </c>
      <c r="T145">
        <v>0</v>
      </c>
      <c r="U145">
        <v>0</v>
      </c>
      <c r="V145">
        <v>0</v>
      </c>
      <c r="W145">
        <v>0</v>
      </c>
      <c r="X145">
        <v>0</v>
      </c>
      <c r="Y145" t="s">
        <v>12</v>
      </c>
    </row>
    <row r="146" spans="1:25" x14ac:dyDescent="0.35">
      <c r="A146">
        <v>3644</v>
      </c>
      <c r="B146" t="s">
        <v>143</v>
      </c>
      <c r="C146" t="s">
        <v>12</v>
      </c>
      <c r="D146" t="s">
        <v>231</v>
      </c>
      <c r="E146">
        <v>1</v>
      </c>
      <c r="F146">
        <v>0</v>
      </c>
      <c r="G146">
        <v>1</v>
      </c>
      <c r="H146" t="s">
        <v>297</v>
      </c>
      <c r="I146">
        <v>8</v>
      </c>
      <c r="J146">
        <v>0</v>
      </c>
      <c r="K146">
        <v>0</v>
      </c>
      <c r="L146">
        <v>8</v>
      </c>
      <c r="M146">
        <v>0</v>
      </c>
      <c r="N146">
        <v>0</v>
      </c>
      <c r="O146">
        <v>0</v>
      </c>
      <c r="P146">
        <v>2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 t="s">
        <v>12</v>
      </c>
    </row>
    <row r="147" spans="1:25" x14ac:dyDescent="0.35">
      <c r="A147">
        <v>3648</v>
      </c>
      <c r="B147" t="s">
        <v>143</v>
      </c>
      <c r="C147" t="s">
        <v>12</v>
      </c>
      <c r="D147" t="s">
        <v>231</v>
      </c>
      <c r="E147">
        <v>1</v>
      </c>
      <c r="F147">
        <v>0</v>
      </c>
      <c r="G147">
        <v>1</v>
      </c>
      <c r="H147" t="s">
        <v>297</v>
      </c>
      <c r="I147">
        <v>7</v>
      </c>
      <c r="J147">
        <v>0</v>
      </c>
      <c r="K147">
        <v>0</v>
      </c>
      <c r="L147">
        <v>7</v>
      </c>
      <c r="M147">
        <v>0</v>
      </c>
      <c r="N147">
        <v>0</v>
      </c>
      <c r="O147">
        <v>0</v>
      </c>
      <c r="P147">
        <v>2</v>
      </c>
      <c r="Q147">
        <v>0</v>
      </c>
      <c r="R147">
        <v>0</v>
      </c>
      <c r="S147">
        <v>0</v>
      </c>
      <c r="T147">
        <v>1</v>
      </c>
      <c r="U147">
        <v>0</v>
      </c>
      <c r="V147">
        <v>0</v>
      </c>
      <c r="W147">
        <v>0</v>
      </c>
      <c r="X147">
        <v>0</v>
      </c>
      <c r="Y147" t="s">
        <v>12</v>
      </c>
    </row>
    <row r="148" spans="1:25" x14ac:dyDescent="0.35">
      <c r="A148">
        <v>3671</v>
      </c>
      <c r="B148" t="s">
        <v>143</v>
      </c>
      <c r="C148" t="s">
        <v>9</v>
      </c>
      <c r="D148" t="s">
        <v>231</v>
      </c>
      <c r="E148">
        <v>1</v>
      </c>
      <c r="F148">
        <v>0</v>
      </c>
      <c r="G148">
        <v>0</v>
      </c>
      <c r="H148" t="s">
        <v>297</v>
      </c>
      <c r="I148">
        <v>3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3</v>
      </c>
      <c r="Q148">
        <v>0</v>
      </c>
      <c r="R148">
        <v>2</v>
      </c>
      <c r="S148">
        <v>0</v>
      </c>
      <c r="T148">
        <v>5</v>
      </c>
      <c r="U148">
        <v>0</v>
      </c>
      <c r="V148">
        <v>0</v>
      </c>
      <c r="W148">
        <v>0</v>
      </c>
      <c r="X148">
        <v>0</v>
      </c>
      <c r="Y148" t="s">
        <v>12</v>
      </c>
    </row>
    <row r="149" spans="1:25" x14ac:dyDescent="0.35">
      <c r="A149">
        <v>3837</v>
      </c>
      <c r="B149" t="s">
        <v>143</v>
      </c>
      <c r="C149" t="s">
        <v>12</v>
      </c>
      <c r="D149" t="s">
        <v>231</v>
      </c>
      <c r="E149">
        <v>0</v>
      </c>
      <c r="F149">
        <v>0</v>
      </c>
      <c r="G149">
        <v>0</v>
      </c>
      <c r="H149" t="s">
        <v>297</v>
      </c>
      <c r="I149">
        <v>7</v>
      </c>
      <c r="J149">
        <v>0</v>
      </c>
      <c r="K149">
        <v>0</v>
      </c>
      <c r="L149">
        <v>7</v>
      </c>
      <c r="M149">
        <v>0</v>
      </c>
      <c r="N149">
        <v>0</v>
      </c>
      <c r="O149">
        <v>0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1</v>
      </c>
      <c r="Y149" t="s">
        <v>12</v>
      </c>
    </row>
    <row r="150" spans="1:25" x14ac:dyDescent="0.35">
      <c r="A150">
        <v>3148</v>
      </c>
      <c r="B150" t="s">
        <v>161</v>
      </c>
      <c r="C150" t="s">
        <v>5</v>
      </c>
      <c r="D150" t="s">
        <v>239</v>
      </c>
      <c r="E150">
        <v>1</v>
      </c>
      <c r="F150">
        <v>0</v>
      </c>
      <c r="G150">
        <v>0</v>
      </c>
      <c r="H150" t="s">
        <v>297</v>
      </c>
      <c r="I150">
        <v>6</v>
      </c>
      <c r="J150">
        <v>0</v>
      </c>
      <c r="K150">
        <v>0</v>
      </c>
      <c r="L150">
        <v>0</v>
      </c>
      <c r="M150">
        <v>0</v>
      </c>
      <c r="N150">
        <v>6</v>
      </c>
      <c r="O150">
        <v>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</v>
      </c>
      <c r="Y150" t="s">
        <v>15</v>
      </c>
    </row>
    <row r="151" spans="1:25" x14ac:dyDescent="0.35">
      <c r="A151">
        <v>3186</v>
      </c>
      <c r="B151" t="s">
        <v>161</v>
      </c>
      <c r="C151" t="s">
        <v>5</v>
      </c>
      <c r="D151" t="s">
        <v>239</v>
      </c>
      <c r="E151">
        <v>1</v>
      </c>
      <c r="F151">
        <v>0</v>
      </c>
      <c r="G151">
        <v>0</v>
      </c>
      <c r="H151" t="s">
        <v>297</v>
      </c>
      <c r="I151">
        <v>8</v>
      </c>
      <c r="J151">
        <v>0</v>
      </c>
      <c r="K151">
        <v>1</v>
      </c>
      <c r="L151">
        <v>0</v>
      </c>
      <c r="M151">
        <v>0</v>
      </c>
      <c r="N151">
        <v>8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 t="s">
        <v>15</v>
      </c>
    </row>
    <row r="152" spans="1:25" x14ac:dyDescent="0.35">
      <c r="A152">
        <v>3187</v>
      </c>
      <c r="B152" t="s">
        <v>161</v>
      </c>
      <c r="C152" t="s">
        <v>5</v>
      </c>
      <c r="D152" t="s">
        <v>239</v>
      </c>
      <c r="E152">
        <v>1</v>
      </c>
      <c r="F152">
        <v>0</v>
      </c>
      <c r="G152">
        <v>0</v>
      </c>
      <c r="H152" t="s">
        <v>297</v>
      </c>
      <c r="I152">
        <v>8</v>
      </c>
      <c r="J152">
        <v>0</v>
      </c>
      <c r="K152">
        <v>1</v>
      </c>
      <c r="L152">
        <v>0</v>
      </c>
      <c r="M152">
        <v>0</v>
      </c>
      <c r="N152">
        <v>8</v>
      </c>
      <c r="O152">
        <v>0</v>
      </c>
      <c r="P152">
        <v>0</v>
      </c>
      <c r="Q152">
        <v>0</v>
      </c>
      <c r="R152">
        <v>1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 t="s">
        <v>15</v>
      </c>
    </row>
    <row r="153" spans="1:25" x14ac:dyDescent="0.35">
      <c r="A153">
        <v>3192</v>
      </c>
      <c r="B153" t="s">
        <v>161</v>
      </c>
      <c r="C153" t="s">
        <v>5</v>
      </c>
      <c r="D153" t="s">
        <v>239</v>
      </c>
      <c r="E153">
        <v>1</v>
      </c>
      <c r="F153">
        <v>0</v>
      </c>
      <c r="G153">
        <v>0</v>
      </c>
      <c r="H153" t="s">
        <v>297</v>
      </c>
      <c r="I153">
        <v>7</v>
      </c>
      <c r="J153">
        <v>0</v>
      </c>
      <c r="K153">
        <v>0</v>
      </c>
      <c r="L153">
        <v>0</v>
      </c>
      <c r="M153">
        <v>0</v>
      </c>
      <c r="N153">
        <v>7</v>
      </c>
      <c r="O153">
        <v>0</v>
      </c>
      <c r="P153">
        <v>0</v>
      </c>
      <c r="Q153">
        <v>0</v>
      </c>
      <c r="R153">
        <v>2</v>
      </c>
      <c r="S153">
        <v>0</v>
      </c>
      <c r="T153">
        <v>0</v>
      </c>
      <c r="U153">
        <v>1</v>
      </c>
      <c r="V153">
        <v>0</v>
      </c>
      <c r="W153">
        <v>0</v>
      </c>
      <c r="X153">
        <v>0</v>
      </c>
      <c r="Y153" t="s">
        <v>15</v>
      </c>
    </row>
    <row r="154" spans="1:25" x14ac:dyDescent="0.35">
      <c r="A154">
        <v>3195</v>
      </c>
      <c r="B154" t="s">
        <v>161</v>
      </c>
      <c r="C154" t="s">
        <v>5</v>
      </c>
      <c r="D154" t="s">
        <v>239</v>
      </c>
      <c r="E154">
        <v>0</v>
      </c>
      <c r="F154">
        <v>0</v>
      </c>
      <c r="G154">
        <v>1</v>
      </c>
      <c r="H154" t="s">
        <v>297</v>
      </c>
      <c r="I154">
        <v>6</v>
      </c>
      <c r="J154">
        <v>0</v>
      </c>
      <c r="K154">
        <v>0</v>
      </c>
      <c r="L154">
        <v>0</v>
      </c>
      <c r="M154">
        <v>0</v>
      </c>
      <c r="N154">
        <v>6</v>
      </c>
      <c r="O154">
        <v>1</v>
      </c>
      <c r="P154">
        <v>0</v>
      </c>
      <c r="Q154">
        <v>0</v>
      </c>
      <c r="R154">
        <v>0</v>
      </c>
      <c r="S154">
        <v>3</v>
      </c>
      <c r="T154">
        <v>0</v>
      </c>
      <c r="U154">
        <v>0</v>
      </c>
      <c r="V154">
        <v>0</v>
      </c>
      <c r="W154">
        <v>0</v>
      </c>
      <c r="X154">
        <v>0</v>
      </c>
      <c r="Y154" t="s">
        <v>15</v>
      </c>
    </row>
    <row r="155" spans="1:25" x14ac:dyDescent="0.35">
      <c r="A155">
        <v>3201</v>
      </c>
      <c r="B155" t="s">
        <v>161</v>
      </c>
      <c r="C155" t="s">
        <v>5</v>
      </c>
      <c r="D155" t="s">
        <v>239</v>
      </c>
      <c r="E155">
        <v>0</v>
      </c>
      <c r="F155">
        <v>0</v>
      </c>
      <c r="G155">
        <v>0</v>
      </c>
      <c r="H155" t="s">
        <v>297</v>
      </c>
      <c r="I155">
        <v>6</v>
      </c>
      <c r="J155">
        <v>0</v>
      </c>
      <c r="K155">
        <v>0</v>
      </c>
      <c r="L155">
        <v>0</v>
      </c>
      <c r="M155">
        <v>0</v>
      </c>
      <c r="N155">
        <v>6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3</v>
      </c>
      <c r="V155">
        <v>0</v>
      </c>
      <c r="W155">
        <v>0</v>
      </c>
      <c r="X155">
        <v>0</v>
      </c>
      <c r="Y155" t="s">
        <v>15</v>
      </c>
    </row>
    <row r="156" spans="1:25" x14ac:dyDescent="0.35">
      <c r="A156">
        <v>3216</v>
      </c>
      <c r="B156" t="s">
        <v>161</v>
      </c>
      <c r="C156" t="s">
        <v>5</v>
      </c>
      <c r="D156" t="s">
        <v>239</v>
      </c>
      <c r="E156">
        <v>1</v>
      </c>
      <c r="F156">
        <v>0</v>
      </c>
      <c r="G156">
        <v>0</v>
      </c>
      <c r="H156" t="s">
        <v>297</v>
      </c>
      <c r="I156">
        <v>10</v>
      </c>
      <c r="J156">
        <v>0</v>
      </c>
      <c r="K156">
        <v>0</v>
      </c>
      <c r="L156">
        <v>0</v>
      </c>
      <c r="M156">
        <v>0</v>
      </c>
      <c r="N156">
        <v>10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 t="s">
        <v>15</v>
      </c>
    </row>
    <row r="157" spans="1:25" x14ac:dyDescent="0.35">
      <c r="A157">
        <v>3225</v>
      </c>
      <c r="B157" t="s">
        <v>161</v>
      </c>
      <c r="C157" t="s">
        <v>5</v>
      </c>
      <c r="D157" t="s">
        <v>239</v>
      </c>
      <c r="E157">
        <v>0</v>
      </c>
      <c r="F157">
        <v>0</v>
      </c>
      <c r="G157">
        <v>1</v>
      </c>
      <c r="H157" t="s">
        <v>297</v>
      </c>
      <c r="I157">
        <v>10</v>
      </c>
      <c r="J157">
        <v>0</v>
      </c>
      <c r="K157">
        <v>0</v>
      </c>
      <c r="L157">
        <v>0</v>
      </c>
      <c r="M157">
        <v>0</v>
      </c>
      <c r="N157">
        <v>10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 t="s">
        <v>15</v>
      </c>
    </row>
    <row r="158" spans="1:25" x14ac:dyDescent="0.35">
      <c r="A158">
        <v>3247</v>
      </c>
      <c r="B158" t="s">
        <v>161</v>
      </c>
      <c r="C158" t="s">
        <v>5</v>
      </c>
      <c r="D158" t="s">
        <v>239</v>
      </c>
      <c r="E158">
        <v>1</v>
      </c>
      <c r="F158">
        <v>0</v>
      </c>
      <c r="G158">
        <v>0</v>
      </c>
      <c r="H158" t="s">
        <v>297</v>
      </c>
      <c r="I158">
        <v>7</v>
      </c>
      <c r="J158">
        <v>0</v>
      </c>
      <c r="K158">
        <v>0</v>
      </c>
      <c r="L158">
        <v>0</v>
      </c>
      <c r="M158">
        <v>0</v>
      </c>
      <c r="N158">
        <v>7</v>
      </c>
      <c r="O158">
        <v>2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1</v>
      </c>
      <c r="W158">
        <v>0</v>
      </c>
      <c r="X158">
        <v>0</v>
      </c>
      <c r="Y158" t="s">
        <v>15</v>
      </c>
    </row>
    <row r="159" spans="1:25" x14ac:dyDescent="0.35">
      <c r="A159">
        <v>3598</v>
      </c>
      <c r="B159" t="s">
        <v>161</v>
      </c>
      <c r="C159" t="s">
        <v>5</v>
      </c>
      <c r="D159" t="s">
        <v>239</v>
      </c>
      <c r="E159">
        <v>1</v>
      </c>
      <c r="F159">
        <v>0</v>
      </c>
      <c r="G159">
        <v>0</v>
      </c>
      <c r="H159" t="s">
        <v>297</v>
      </c>
      <c r="I159">
        <v>8</v>
      </c>
      <c r="J159">
        <v>0</v>
      </c>
      <c r="K159">
        <v>0</v>
      </c>
      <c r="L159">
        <v>0</v>
      </c>
      <c r="M159">
        <v>0</v>
      </c>
      <c r="N159">
        <v>8</v>
      </c>
      <c r="O159">
        <v>1</v>
      </c>
      <c r="P159">
        <v>0</v>
      </c>
      <c r="Q159">
        <v>0</v>
      </c>
      <c r="R159">
        <v>1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 t="s">
        <v>15</v>
      </c>
    </row>
    <row r="160" spans="1:25" x14ac:dyDescent="0.35">
      <c r="A160">
        <v>3600</v>
      </c>
      <c r="B160" t="s">
        <v>161</v>
      </c>
      <c r="C160" t="s">
        <v>5</v>
      </c>
      <c r="D160" t="s">
        <v>239</v>
      </c>
      <c r="E160">
        <v>0</v>
      </c>
      <c r="F160">
        <v>0</v>
      </c>
      <c r="G160">
        <v>0</v>
      </c>
      <c r="H160" t="s">
        <v>297</v>
      </c>
      <c r="I160">
        <v>5</v>
      </c>
      <c r="J160">
        <v>0</v>
      </c>
      <c r="K160">
        <v>0</v>
      </c>
      <c r="L160">
        <v>0</v>
      </c>
      <c r="M160">
        <v>0</v>
      </c>
      <c r="N160">
        <v>5</v>
      </c>
      <c r="O160">
        <v>4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1</v>
      </c>
      <c r="Y160" t="s">
        <v>15</v>
      </c>
    </row>
    <row r="161" spans="1:25" x14ac:dyDescent="0.35">
      <c r="A161">
        <v>3606</v>
      </c>
      <c r="B161" t="s">
        <v>161</v>
      </c>
      <c r="C161" t="s">
        <v>5</v>
      </c>
      <c r="D161" t="s">
        <v>239</v>
      </c>
      <c r="E161">
        <v>1</v>
      </c>
      <c r="F161">
        <v>0</v>
      </c>
      <c r="G161">
        <v>0</v>
      </c>
      <c r="H161" t="s">
        <v>297</v>
      </c>
      <c r="I161">
        <v>8</v>
      </c>
      <c r="J161">
        <v>0</v>
      </c>
      <c r="K161">
        <v>0</v>
      </c>
      <c r="L161">
        <v>0</v>
      </c>
      <c r="M161">
        <v>0</v>
      </c>
      <c r="N161">
        <v>8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</v>
      </c>
      <c r="Y161" t="s">
        <v>15</v>
      </c>
    </row>
    <row r="162" spans="1:25" x14ac:dyDescent="0.35">
      <c r="A162">
        <v>3607</v>
      </c>
      <c r="B162" t="s">
        <v>161</v>
      </c>
      <c r="C162" t="s">
        <v>5</v>
      </c>
      <c r="D162" t="s">
        <v>239</v>
      </c>
      <c r="E162">
        <v>0</v>
      </c>
      <c r="F162">
        <v>0</v>
      </c>
      <c r="G162">
        <v>0</v>
      </c>
      <c r="H162" t="s">
        <v>297</v>
      </c>
      <c r="I162">
        <v>6</v>
      </c>
      <c r="J162">
        <v>0</v>
      </c>
      <c r="K162">
        <v>0</v>
      </c>
      <c r="L162">
        <v>0</v>
      </c>
      <c r="M162">
        <v>0</v>
      </c>
      <c r="N162">
        <v>6</v>
      </c>
      <c r="O162">
        <v>3</v>
      </c>
      <c r="P162">
        <v>0</v>
      </c>
      <c r="Q162">
        <v>1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 t="s">
        <v>15</v>
      </c>
    </row>
    <row r="163" spans="1:25" x14ac:dyDescent="0.35">
      <c r="A163">
        <v>3618</v>
      </c>
      <c r="B163" t="s">
        <v>161</v>
      </c>
      <c r="C163" t="s">
        <v>5</v>
      </c>
      <c r="D163" t="s">
        <v>239</v>
      </c>
      <c r="E163">
        <v>1</v>
      </c>
      <c r="F163">
        <v>0</v>
      </c>
      <c r="G163">
        <v>0</v>
      </c>
      <c r="H163" t="s">
        <v>297</v>
      </c>
      <c r="I163">
        <v>5</v>
      </c>
      <c r="J163">
        <v>0</v>
      </c>
      <c r="K163">
        <v>0</v>
      </c>
      <c r="L163">
        <v>0</v>
      </c>
      <c r="M163">
        <v>0</v>
      </c>
      <c r="N163">
        <v>5</v>
      </c>
      <c r="O163">
        <v>4</v>
      </c>
      <c r="P163">
        <v>0</v>
      </c>
      <c r="Q163">
        <v>1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 t="s">
        <v>15</v>
      </c>
    </row>
    <row r="164" spans="1:25" x14ac:dyDescent="0.35">
      <c r="A164">
        <v>3695</v>
      </c>
      <c r="B164" t="s">
        <v>161</v>
      </c>
      <c r="C164" t="s">
        <v>5</v>
      </c>
      <c r="D164" t="s">
        <v>239</v>
      </c>
      <c r="E164">
        <v>0</v>
      </c>
      <c r="F164">
        <v>0</v>
      </c>
      <c r="G164">
        <v>0</v>
      </c>
      <c r="H164" t="s">
        <v>297</v>
      </c>
      <c r="I164">
        <v>5</v>
      </c>
      <c r="J164">
        <v>0</v>
      </c>
      <c r="K164">
        <v>0</v>
      </c>
      <c r="L164">
        <v>0</v>
      </c>
      <c r="M164">
        <v>0</v>
      </c>
      <c r="N164">
        <v>5</v>
      </c>
      <c r="O164">
        <v>0</v>
      </c>
      <c r="P164">
        <v>0</v>
      </c>
      <c r="Q164">
        <v>0</v>
      </c>
      <c r="R164">
        <v>2</v>
      </c>
      <c r="S164">
        <v>0</v>
      </c>
      <c r="T164">
        <v>0</v>
      </c>
      <c r="U164">
        <v>3</v>
      </c>
      <c r="V164">
        <v>0</v>
      </c>
      <c r="W164">
        <v>0</v>
      </c>
      <c r="X164">
        <v>0</v>
      </c>
      <c r="Y164" t="s">
        <v>15</v>
      </c>
    </row>
    <row r="165" spans="1:25" x14ac:dyDescent="0.35">
      <c r="A165">
        <v>3706</v>
      </c>
      <c r="B165" t="s">
        <v>161</v>
      </c>
      <c r="C165" t="s">
        <v>5</v>
      </c>
      <c r="D165" t="s">
        <v>239</v>
      </c>
      <c r="E165">
        <v>1</v>
      </c>
      <c r="F165">
        <v>0</v>
      </c>
      <c r="G165">
        <v>0</v>
      </c>
      <c r="H165" t="s">
        <v>297</v>
      </c>
      <c r="I165">
        <v>8</v>
      </c>
      <c r="J165">
        <v>0</v>
      </c>
      <c r="K165">
        <v>0</v>
      </c>
      <c r="L165">
        <v>0</v>
      </c>
      <c r="M165">
        <v>0</v>
      </c>
      <c r="N165">
        <v>8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1</v>
      </c>
      <c r="Y165" t="s">
        <v>15</v>
      </c>
    </row>
    <row r="166" spans="1:25" x14ac:dyDescent="0.35">
      <c r="A166">
        <v>3712</v>
      </c>
      <c r="B166" t="s">
        <v>161</v>
      </c>
      <c r="C166" t="s">
        <v>5</v>
      </c>
      <c r="D166" t="s">
        <v>239</v>
      </c>
      <c r="E166">
        <v>0</v>
      </c>
      <c r="F166">
        <v>0</v>
      </c>
      <c r="G166">
        <v>0</v>
      </c>
      <c r="H166" t="s">
        <v>297</v>
      </c>
      <c r="I166">
        <v>5</v>
      </c>
      <c r="J166">
        <v>0</v>
      </c>
      <c r="K166">
        <v>0</v>
      </c>
      <c r="L166">
        <v>0</v>
      </c>
      <c r="M166">
        <v>0</v>
      </c>
      <c r="N166">
        <v>5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4</v>
      </c>
      <c r="V166">
        <v>0</v>
      </c>
      <c r="W166">
        <v>0</v>
      </c>
      <c r="X166">
        <v>0</v>
      </c>
      <c r="Y166" t="s">
        <v>15</v>
      </c>
    </row>
    <row r="167" spans="1:25" x14ac:dyDescent="0.35">
      <c r="A167">
        <v>3807</v>
      </c>
      <c r="B167" t="s">
        <v>161</v>
      </c>
      <c r="C167" t="s">
        <v>5</v>
      </c>
      <c r="D167" t="s">
        <v>239</v>
      </c>
      <c r="E167">
        <v>0</v>
      </c>
      <c r="F167">
        <v>0</v>
      </c>
      <c r="G167">
        <v>0</v>
      </c>
      <c r="H167" t="s">
        <v>297</v>
      </c>
      <c r="I167">
        <v>5</v>
      </c>
      <c r="J167">
        <v>0</v>
      </c>
      <c r="K167">
        <v>3</v>
      </c>
      <c r="L167">
        <v>0</v>
      </c>
      <c r="M167">
        <v>0</v>
      </c>
      <c r="N167">
        <v>5</v>
      </c>
      <c r="O167">
        <v>2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 t="s">
        <v>15</v>
      </c>
    </row>
    <row r="168" spans="1:25" x14ac:dyDescent="0.35">
      <c r="A168">
        <v>3816</v>
      </c>
      <c r="B168" t="s">
        <v>161</v>
      </c>
      <c r="C168" t="s">
        <v>5</v>
      </c>
      <c r="D168" t="s">
        <v>239</v>
      </c>
      <c r="E168">
        <v>1</v>
      </c>
      <c r="F168">
        <v>0</v>
      </c>
      <c r="G168">
        <v>0</v>
      </c>
      <c r="H168" t="s">
        <v>297</v>
      </c>
      <c r="I168">
        <v>7</v>
      </c>
      <c r="J168">
        <v>0</v>
      </c>
      <c r="K168">
        <v>2</v>
      </c>
      <c r="L168">
        <v>0</v>
      </c>
      <c r="M168">
        <v>0</v>
      </c>
      <c r="N168">
        <v>7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1</v>
      </c>
      <c r="Y168" t="s">
        <v>15</v>
      </c>
    </row>
    <row r="169" spans="1:25" x14ac:dyDescent="0.35">
      <c r="A169">
        <v>3817</v>
      </c>
      <c r="B169" t="s">
        <v>161</v>
      </c>
      <c r="C169" t="s">
        <v>5</v>
      </c>
      <c r="D169" t="s">
        <v>239</v>
      </c>
      <c r="E169">
        <v>1</v>
      </c>
      <c r="F169">
        <v>0</v>
      </c>
      <c r="G169">
        <v>0</v>
      </c>
      <c r="H169" t="s">
        <v>297</v>
      </c>
      <c r="I169">
        <v>5</v>
      </c>
      <c r="J169">
        <v>0</v>
      </c>
      <c r="K169">
        <v>0</v>
      </c>
      <c r="L169">
        <v>0</v>
      </c>
      <c r="M169">
        <v>4</v>
      </c>
      <c r="N169">
        <v>5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1</v>
      </c>
      <c r="Y169" t="s">
        <v>15</v>
      </c>
    </row>
    <row r="170" spans="1:25" x14ac:dyDescent="0.35">
      <c r="A170">
        <v>3845</v>
      </c>
      <c r="B170" t="s">
        <v>161</v>
      </c>
      <c r="C170" t="s">
        <v>5</v>
      </c>
      <c r="D170" t="s">
        <v>239</v>
      </c>
      <c r="E170">
        <v>1</v>
      </c>
      <c r="F170">
        <v>0</v>
      </c>
      <c r="G170">
        <v>0</v>
      </c>
      <c r="H170" t="s">
        <v>297</v>
      </c>
      <c r="I170">
        <v>5</v>
      </c>
      <c r="J170">
        <v>0</v>
      </c>
      <c r="K170">
        <v>2</v>
      </c>
      <c r="L170">
        <v>0</v>
      </c>
      <c r="M170">
        <v>0</v>
      </c>
      <c r="N170">
        <v>5</v>
      </c>
      <c r="O170">
        <v>0</v>
      </c>
      <c r="P170">
        <v>0</v>
      </c>
      <c r="Q170">
        <v>0</v>
      </c>
      <c r="R170">
        <v>0</v>
      </c>
      <c r="S170">
        <v>3</v>
      </c>
      <c r="T170">
        <v>0</v>
      </c>
      <c r="U170">
        <v>0</v>
      </c>
      <c r="V170">
        <v>0</v>
      </c>
      <c r="W170">
        <v>0</v>
      </c>
      <c r="X170">
        <v>0</v>
      </c>
      <c r="Y170" t="s">
        <v>15</v>
      </c>
    </row>
    <row r="171" spans="1:25" x14ac:dyDescent="0.35">
      <c r="A171">
        <v>3203</v>
      </c>
      <c r="B171" t="s">
        <v>159</v>
      </c>
      <c r="C171" t="s">
        <v>8</v>
      </c>
      <c r="D171" t="s">
        <v>231</v>
      </c>
      <c r="E171">
        <v>1</v>
      </c>
      <c r="F171">
        <v>1</v>
      </c>
      <c r="G171">
        <v>0</v>
      </c>
      <c r="H171" t="s">
        <v>297</v>
      </c>
      <c r="I171">
        <v>8</v>
      </c>
      <c r="J171">
        <v>0</v>
      </c>
      <c r="K171">
        <v>0</v>
      </c>
      <c r="L171">
        <v>0</v>
      </c>
      <c r="M171">
        <v>8</v>
      </c>
      <c r="N171">
        <v>0</v>
      </c>
      <c r="O171">
        <v>0</v>
      </c>
      <c r="P171">
        <v>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 t="s">
        <v>8</v>
      </c>
    </row>
    <row r="172" spans="1:25" x14ac:dyDescent="0.35">
      <c r="A172">
        <v>3263</v>
      </c>
      <c r="B172" t="s">
        <v>159</v>
      </c>
      <c r="C172" t="s">
        <v>8</v>
      </c>
      <c r="D172" t="s">
        <v>231</v>
      </c>
      <c r="E172">
        <v>0</v>
      </c>
      <c r="F172">
        <v>0</v>
      </c>
      <c r="G172">
        <v>0</v>
      </c>
      <c r="H172" t="s">
        <v>297</v>
      </c>
      <c r="I172">
        <v>6</v>
      </c>
      <c r="J172">
        <v>0</v>
      </c>
      <c r="K172">
        <v>1</v>
      </c>
      <c r="L172">
        <v>0</v>
      </c>
      <c r="M172">
        <v>6</v>
      </c>
      <c r="N172">
        <v>3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 t="s">
        <v>8</v>
      </c>
    </row>
    <row r="173" spans="1:25" x14ac:dyDescent="0.35">
      <c r="A173">
        <v>3264</v>
      </c>
      <c r="B173" t="s">
        <v>159</v>
      </c>
      <c r="C173" t="s">
        <v>8</v>
      </c>
      <c r="D173" t="s">
        <v>231</v>
      </c>
      <c r="E173">
        <v>1</v>
      </c>
      <c r="F173">
        <v>0</v>
      </c>
      <c r="G173">
        <v>0</v>
      </c>
      <c r="H173" t="s">
        <v>297</v>
      </c>
      <c r="I173">
        <v>7</v>
      </c>
      <c r="J173">
        <v>0</v>
      </c>
      <c r="K173">
        <v>0</v>
      </c>
      <c r="L173">
        <v>0</v>
      </c>
      <c r="M173">
        <v>7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2</v>
      </c>
      <c r="V173">
        <v>0</v>
      </c>
      <c r="W173">
        <v>0</v>
      </c>
      <c r="X173">
        <v>0</v>
      </c>
      <c r="Y173" t="s">
        <v>8</v>
      </c>
    </row>
    <row r="174" spans="1:25" x14ac:dyDescent="0.35">
      <c r="A174">
        <v>3269</v>
      </c>
      <c r="B174" t="s">
        <v>159</v>
      </c>
      <c r="C174" t="s">
        <v>8</v>
      </c>
      <c r="D174" t="s">
        <v>231</v>
      </c>
      <c r="E174">
        <v>1</v>
      </c>
      <c r="F174">
        <v>0</v>
      </c>
      <c r="G174">
        <v>0</v>
      </c>
      <c r="H174" t="s">
        <v>297</v>
      </c>
      <c r="I174">
        <v>5</v>
      </c>
      <c r="J174">
        <v>0</v>
      </c>
      <c r="K174">
        <v>0</v>
      </c>
      <c r="L174">
        <v>0</v>
      </c>
      <c r="M174">
        <v>5</v>
      </c>
      <c r="N174">
        <v>2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3</v>
      </c>
      <c r="V174">
        <v>0</v>
      </c>
      <c r="W174">
        <v>0</v>
      </c>
      <c r="X174">
        <v>0</v>
      </c>
      <c r="Y174" t="s">
        <v>8</v>
      </c>
    </row>
    <row r="175" spans="1:25" x14ac:dyDescent="0.35">
      <c r="A175">
        <v>3271</v>
      </c>
      <c r="B175" t="s">
        <v>159</v>
      </c>
      <c r="C175" t="s">
        <v>8</v>
      </c>
      <c r="D175" t="s">
        <v>231</v>
      </c>
      <c r="E175">
        <v>0</v>
      </c>
      <c r="F175">
        <v>0</v>
      </c>
      <c r="G175">
        <v>0</v>
      </c>
      <c r="H175" t="s">
        <v>297</v>
      </c>
      <c r="I175">
        <v>5</v>
      </c>
      <c r="J175">
        <v>0</v>
      </c>
      <c r="K175">
        <v>0</v>
      </c>
      <c r="L175">
        <v>0</v>
      </c>
      <c r="M175">
        <v>5</v>
      </c>
      <c r="N175">
        <v>0</v>
      </c>
      <c r="O175">
        <v>0</v>
      </c>
      <c r="P175">
        <v>1</v>
      </c>
      <c r="Q175">
        <v>0</v>
      </c>
      <c r="R175">
        <v>0</v>
      </c>
      <c r="S175">
        <v>0</v>
      </c>
      <c r="T175">
        <v>0</v>
      </c>
      <c r="U175">
        <v>4</v>
      </c>
      <c r="V175">
        <v>0</v>
      </c>
      <c r="W175">
        <v>0</v>
      </c>
      <c r="X175">
        <v>0</v>
      </c>
      <c r="Y175" t="s">
        <v>8</v>
      </c>
    </row>
    <row r="176" spans="1:25" x14ac:dyDescent="0.35">
      <c r="A176">
        <v>3272</v>
      </c>
      <c r="B176" t="s">
        <v>159</v>
      </c>
      <c r="C176" t="s">
        <v>8</v>
      </c>
      <c r="D176" t="s">
        <v>231</v>
      </c>
      <c r="E176">
        <v>1</v>
      </c>
      <c r="F176">
        <v>0</v>
      </c>
      <c r="G176">
        <v>0</v>
      </c>
      <c r="H176" t="s">
        <v>297</v>
      </c>
      <c r="I176">
        <v>8</v>
      </c>
      <c r="J176">
        <v>0</v>
      </c>
      <c r="K176">
        <v>0</v>
      </c>
      <c r="L176">
        <v>0</v>
      </c>
      <c r="M176">
        <v>8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1</v>
      </c>
      <c r="U176">
        <v>0</v>
      </c>
      <c r="V176">
        <v>0</v>
      </c>
      <c r="W176">
        <v>0</v>
      </c>
      <c r="X176">
        <v>0</v>
      </c>
      <c r="Y176" t="s">
        <v>8</v>
      </c>
    </row>
    <row r="177" spans="1:25" x14ac:dyDescent="0.35">
      <c r="A177">
        <v>3274</v>
      </c>
      <c r="B177" t="s">
        <v>159</v>
      </c>
      <c r="C177" t="s">
        <v>8</v>
      </c>
      <c r="D177" t="s">
        <v>231</v>
      </c>
      <c r="E177">
        <v>1</v>
      </c>
      <c r="F177">
        <v>0</v>
      </c>
      <c r="G177">
        <v>0</v>
      </c>
      <c r="H177" t="s">
        <v>297</v>
      </c>
      <c r="I177">
        <v>8</v>
      </c>
      <c r="J177">
        <v>0</v>
      </c>
      <c r="K177">
        <v>0</v>
      </c>
      <c r="L177">
        <v>0</v>
      </c>
      <c r="M177">
        <v>8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</v>
      </c>
      <c r="Y177" t="s">
        <v>8</v>
      </c>
    </row>
    <row r="178" spans="1:25" x14ac:dyDescent="0.35">
      <c r="A178">
        <v>3330</v>
      </c>
      <c r="B178" t="s">
        <v>159</v>
      </c>
      <c r="C178" t="s">
        <v>8</v>
      </c>
      <c r="D178" t="s">
        <v>231</v>
      </c>
      <c r="E178">
        <v>1</v>
      </c>
      <c r="F178">
        <v>0</v>
      </c>
      <c r="G178">
        <v>0</v>
      </c>
      <c r="H178" t="s">
        <v>297</v>
      </c>
      <c r="I178">
        <v>6</v>
      </c>
      <c r="J178">
        <v>0</v>
      </c>
      <c r="K178">
        <v>0</v>
      </c>
      <c r="L178">
        <v>0</v>
      </c>
      <c r="M178">
        <v>6</v>
      </c>
      <c r="N178">
        <v>2</v>
      </c>
      <c r="O178">
        <v>0</v>
      </c>
      <c r="P178">
        <v>0</v>
      </c>
      <c r="Q178">
        <v>0</v>
      </c>
      <c r="R178">
        <v>0</v>
      </c>
      <c r="S178">
        <v>2</v>
      </c>
      <c r="T178">
        <v>0</v>
      </c>
      <c r="U178">
        <v>0</v>
      </c>
      <c r="V178">
        <v>0</v>
      </c>
      <c r="W178">
        <v>0</v>
      </c>
      <c r="X178">
        <v>0</v>
      </c>
      <c r="Y178" t="s">
        <v>8</v>
      </c>
    </row>
    <row r="179" spans="1:25" x14ac:dyDescent="0.35">
      <c r="A179">
        <v>3335</v>
      </c>
      <c r="B179" t="s">
        <v>159</v>
      </c>
      <c r="C179" t="s">
        <v>8</v>
      </c>
      <c r="D179" t="s">
        <v>231</v>
      </c>
      <c r="E179">
        <v>0</v>
      </c>
      <c r="F179">
        <v>0</v>
      </c>
      <c r="G179">
        <v>0</v>
      </c>
      <c r="H179" t="s">
        <v>297</v>
      </c>
      <c r="I179">
        <v>5</v>
      </c>
      <c r="J179">
        <v>0</v>
      </c>
      <c r="K179">
        <v>0</v>
      </c>
      <c r="L179">
        <v>0</v>
      </c>
      <c r="M179">
        <v>5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3</v>
      </c>
      <c r="T179">
        <v>2</v>
      </c>
      <c r="U179">
        <v>0</v>
      </c>
      <c r="V179">
        <v>0</v>
      </c>
      <c r="W179">
        <v>0</v>
      </c>
      <c r="X179">
        <v>0</v>
      </c>
      <c r="Y179" t="s">
        <v>8</v>
      </c>
    </row>
    <row r="180" spans="1:25" x14ac:dyDescent="0.35">
      <c r="A180">
        <v>3338</v>
      </c>
      <c r="B180" t="s">
        <v>159</v>
      </c>
      <c r="C180" t="s">
        <v>8</v>
      </c>
      <c r="D180" t="s">
        <v>231</v>
      </c>
      <c r="E180">
        <v>1</v>
      </c>
      <c r="F180">
        <v>0</v>
      </c>
      <c r="G180">
        <v>0</v>
      </c>
      <c r="H180" t="s">
        <v>297</v>
      </c>
      <c r="I180">
        <v>8</v>
      </c>
      <c r="J180">
        <v>0</v>
      </c>
      <c r="K180">
        <v>1</v>
      </c>
      <c r="L180">
        <v>0</v>
      </c>
      <c r="M180">
        <v>8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1</v>
      </c>
      <c r="T180">
        <v>0</v>
      </c>
      <c r="U180">
        <v>0</v>
      </c>
      <c r="V180">
        <v>0</v>
      </c>
      <c r="W180">
        <v>0</v>
      </c>
      <c r="X180">
        <v>0</v>
      </c>
      <c r="Y180" t="s">
        <v>8</v>
      </c>
    </row>
    <row r="181" spans="1:25" x14ac:dyDescent="0.35">
      <c r="A181">
        <v>3343</v>
      </c>
      <c r="B181" t="s">
        <v>159</v>
      </c>
      <c r="C181" t="s">
        <v>8</v>
      </c>
      <c r="D181" t="s">
        <v>231</v>
      </c>
      <c r="E181">
        <v>0</v>
      </c>
      <c r="F181">
        <v>0</v>
      </c>
      <c r="G181">
        <v>0</v>
      </c>
      <c r="H181" t="s">
        <v>297</v>
      </c>
      <c r="I181">
        <v>6</v>
      </c>
      <c r="J181">
        <v>0</v>
      </c>
      <c r="K181">
        <v>0</v>
      </c>
      <c r="L181">
        <v>0</v>
      </c>
      <c r="M181">
        <v>6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3</v>
      </c>
      <c r="T181">
        <v>0</v>
      </c>
      <c r="U181">
        <v>0</v>
      </c>
      <c r="V181">
        <v>0</v>
      </c>
      <c r="W181">
        <v>0</v>
      </c>
      <c r="X181">
        <v>1</v>
      </c>
      <c r="Y181" t="s">
        <v>8</v>
      </c>
    </row>
    <row r="182" spans="1:25" x14ac:dyDescent="0.35">
      <c r="A182">
        <v>3396</v>
      </c>
      <c r="B182" t="s">
        <v>159</v>
      </c>
      <c r="C182" t="s">
        <v>8</v>
      </c>
      <c r="D182" t="s">
        <v>231</v>
      </c>
      <c r="E182">
        <v>0</v>
      </c>
      <c r="F182">
        <v>0</v>
      </c>
      <c r="G182">
        <v>0</v>
      </c>
      <c r="H182" t="s">
        <v>297</v>
      </c>
      <c r="I182">
        <v>8</v>
      </c>
      <c r="J182">
        <v>0</v>
      </c>
      <c r="K182">
        <v>0</v>
      </c>
      <c r="L182">
        <v>0</v>
      </c>
      <c r="M182">
        <v>8</v>
      </c>
      <c r="N182">
        <v>0</v>
      </c>
      <c r="O182">
        <v>0</v>
      </c>
      <c r="P182">
        <v>1</v>
      </c>
      <c r="Q182">
        <v>0</v>
      </c>
      <c r="R182">
        <v>0</v>
      </c>
      <c r="S182">
        <v>0</v>
      </c>
      <c r="T182">
        <v>1</v>
      </c>
      <c r="U182">
        <v>0</v>
      </c>
      <c r="V182">
        <v>0</v>
      </c>
      <c r="W182">
        <v>0</v>
      </c>
      <c r="X182">
        <v>0</v>
      </c>
      <c r="Y182" t="s">
        <v>8</v>
      </c>
    </row>
    <row r="183" spans="1:25" x14ac:dyDescent="0.35">
      <c r="A183">
        <v>3402</v>
      </c>
      <c r="B183" t="s">
        <v>159</v>
      </c>
      <c r="C183" t="s">
        <v>8</v>
      </c>
      <c r="D183" t="s">
        <v>231</v>
      </c>
      <c r="E183">
        <v>1</v>
      </c>
      <c r="F183">
        <v>0</v>
      </c>
      <c r="G183">
        <v>1</v>
      </c>
      <c r="H183" t="s">
        <v>297</v>
      </c>
      <c r="I183">
        <v>6</v>
      </c>
      <c r="J183">
        <v>0</v>
      </c>
      <c r="K183">
        <v>0</v>
      </c>
      <c r="L183">
        <v>0</v>
      </c>
      <c r="M183">
        <v>6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0</v>
      </c>
      <c r="T183">
        <v>3</v>
      </c>
      <c r="U183">
        <v>0</v>
      </c>
      <c r="V183">
        <v>0</v>
      </c>
      <c r="W183">
        <v>0</v>
      </c>
      <c r="X183">
        <v>0</v>
      </c>
      <c r="Y183" t="s">
        <v>8</v>
      </c>
    </row>
    <row r="184" spans="1:25" x14ac:dyDescent="0.35">
      <c r="A184">
        <v>3403</v>
      </c>
      <c r="B184" t="s">
        <v>159</v>
      </c>
      <c r="C184" t="s">
        <v>8</v>
      </c>
      <c r="D184" t="s">
        <v>231</v>
      </c>
      <c r="E184">
        <v>0</v>
      </c>
      <c r="F184">
        <v>0</v>
      </c>
      <c r="G184">
        <v>0</v>
      </c>
      <c r="H184" t="s">
        <v>297</v>
      </c>
      <c r="I184">
        <v>6</v>
      </c>
      <c r="J184">
        <v>0</v>
      </c>
      <c r="K184">
        <v>0</v>
      </c>
      <c r="L184">
        <v>0</v>
      </c>
      <c r="M184">
        <v>6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1</v>
      </c>
      <c r="T184">
        <v>3</v>
      </c>
      <c r="U184">
        <v>0</v>
      </c>
      <c r="V184">
        <v>0</v>
      </c>
      <c r="W184">
        <v>0</v>
      </c>
      <c r="X184">
        <v>0</v>
      </c>
      <c r="Y184" t="s">
        <v>8</v>
      </c>
    </row>
    <row r="185" spans="1:25" x14ac:dyDescent="0.35">
      <c r="A185">
        <v>3405</v>
      </c>
      <c r="B185" t="s">
        <v>159</v>
      </c>
      <c r="C185" t="s">
        <v>8</v>
      </c>
      <c r="D185" t="s">
        <v>231</v>
      </c>
      <c r="E185">
        <v>1</v>
      </c>
      <c r="F185">
        <v>1</v>
      </c>
      <c r="G185">
        <v>0</v>
      </c>
      <c r="H185" t="s">
        <v>297</v>
      </c>
      <c r="I185">
        <v>5</v>
      </c>
      <c r="J185">
        <v>3</v>
      </c>
      <c r="K185">
        <v>0</v>
      </c>
      <c r="L185">
        <v>0</v>
      </c>
      <c r="M185">
        <v>5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2</v>
      </c>
      <c r="Y185" t="s">
        <v>8</v>
      </c>
    </row>
    <row r="186" spans="1:25" x14ac:dyDescent="0.35">
      <c r="A186">
        <v>3406</v>
      </c>
      <c r="B186" t="s">
        <v>159</v>
      </c>
      <c r="C186" t="s">
        <v>8</v>
      </c>
      <c r="D186" t="s">
        <v>231</v>
      </c>
      <c r="E186">
        <v>1</v>
      </c>
      <c r="F186">
        <v>0</v>
      </c>
      <c r="G186">
        <v>0</v>
      </c>
      <c r="H186" t="s">
        <v>297</v>
      </c>
      <c r="I186">
        <v>7</v>
      </c>
      <c r="J186">
        <v>0</v>
      </c>
      <c r="K186">
        <v>0</v>
      </c>
      <c r="L186">
        <v>0</v>
      </c>
      <c r="M186">
        <v>7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1</v>
      </c>
      <c r="T186">
        <v>2</v>
      </c>
      <c r="U186">
        <v>0</v>
      </c>
      <c r="V186">
        <v>0</v>
      </c>
      <c r="W186">
        <v>0</v>
      </c>
      <c r="X186">
        <v>0</v>
      </c>
      <c r="Y186" t="s">
        <v>8</v>
      </c>
    </row>
    <row r="187" spans="1:25" x14ac:dyDescent="0.35">
      <c r="A187">
        <v>3546</v>
      </c>
      <c r="B187" t="s">
        <v>159</v>
      </c>
      <c r="C187" t="s">
        <v>8</v>
      </c>
      <c r="D187" t="s">
        <v>231</v>
      </c>
      <c r="E187">
        <v>1</v>
      </c>
      <c r="F187">
        <v>0</v>
      </c>
      <c r="G187">
        <v>0</v>
      </c>
      <c r="H187" t="s">
        <v>297</v>
      </c>
      <c r="I187">
        <v>7</v>
      </c>
      <c r="J187">
        <v>0</v>
      </c>
      <c r="K187">
        <v>1</v>
      </c>
      <c r="L187">
        <v>0</v>
      </c>
      <c r="M187">
        <v>7</v>
      </c>
      <c r="N187">
        <v>0</v>
      </c>
      <c r="O187">
        <v>0</v>
      </c>
      <c r="P187">
        <v>2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 t="s">
        <v>8</v>
      </c>
    </row>
    <row r="188" spans="1:25" x14ac:dyDescent="0.35">
      <c r="A188">
        <v>3556</v>
      </c>
      <c r="B188" t="s">
        <v>159</v>
      </c>
      <c r="C188" t="s">
        <v>8</v>
      </c>
      <c r="D188" t="s">
        <v>231</v>
      </c>
      <c r="E188">
        <v>1</v>
      </c>
      <c r="F188">
        <v>0</v>
      </c>
      <c r="G188">
        <v>0</v>
      </c>
      <c r="H188" t="s">
        <v>297</v>
      </c>
      <c r="I188">
        <v>8</v>
      </c>
      <c r="J188">
        <v>0</v>
      </c>
      <c r="K188">
        <v>0</v>
      </c>
      <c r="L188">
        <v>0</v>
      </c>
      <c r="M188">
        <v>8</v>
      </c>
      <c r="N188">
        <v>0</v>
      </c>
      <c r="O188">
        <v>0</v>
      </c>
      <c r="P188">
        <v>2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 t="s">
        <v>8</v>
      </c>
    </row>
    <row r="189" spans="1:25" x14ac:dyDescent="0.35">
      <c r="A189">
        <v>3567</v>
      </c>
      <c r="B189" t="s">
        <v>159</v>
      </c>
      <c r="C189" t="s">
        <v>8</v>
      </c>
      <c r="D189" t="s">
        <v>231</v>
      </c>
      <c r="E189">
        <v>0</v>
      </c>
      <c r="F189">
        <v>0</v>
      </c>
      <c r="G189">
        <v>0</v>
      </c>
      <c r="H189" t="s">
        <v>297</v>
      </c>
      <c r="I189">
        <v>5</v>
      </c>
      <c r="J189">
        <v>0</v>
      </c>
      <c r="K189">
        <v>0</v>
      </c>
      <c r="L189">
        <v>0</v>
      </c>
      <c r="M189">
        <v>5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3</v>
      </c>
      <c r="U189">
        <v>0</v>
      </c>
      <c r="V189">
        <v>2</v>
      </c>
      <c r="W189">
        <v>0</v>
      </c>
      <c r="X189">
        <v>0</v>
      </c>
      <c r="Y189" t="s">
        <v>8</v>
      </c>
    </row>
    <row r="190" spans="1:25" x14ac:dyDescent="0.35">
      <c r="A190">
        <v>3571</v>
      </c>
      <c r="B190" t="s">
        <v>159</v>
      </c>
      <c r="C190" t="s">
        <v>8</v>
      </c>
      <c r="D190" t="s">
        <v>231</v>
      </c>
      <c r="E190">
        <v>1</v>
      </c>
      <c r="F190">
        <v>0</v>
      </c>
      <c r="G190">
        <v>0</v>
      </c>
      <c r="H190" t="s">
        <v>297</v>
      </c>
      <c r="I190">
        <v>8</v>
      </c>
      <c r="J190">
        <v>1</v>
      </c>
      <c r="K190">
        <v>0</v>
      </c>
      <c r="L190">
        <v>0</v>
      </c>
      <c r="M190">
        <v>8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t="s">
        <v>8</v>
      </c>
    </row>
    <row r="191" spans="1:25" x14ac:dyDescent="0.35">
      <c r="A191">
        <v>3573</v>
      </c>
      <c r="B191" t="s">
        <v>159</v>
      </c>
      <c r="C191" t="s">
        <v>8</v>
      </c>
      <c r="D191" t="s">
        <v>231</v>
      </c>
      <c r="E191">
        <v>0</v>
      </c>
      <c r="F191">
        <v>0</v>
      </c>
      <c r="G191">
        <v>1</v>
      </c>
      <c r="H191" t="s">
        <v>297</v>
      </c>
      <c r="I191">
        <v>7</v>
      </c>
      <c r="J191">
        <v>0</v>
      </c>
      <c r="K191">
        <v>0</v>
      </c>
      <c r="L191">
        <v>0</v>
      </c>
      <c r="M191">
        <v>7</v>
      </c>
      <c r="N191">
        <v>0</v>
      </c>
      <c r="O191">
        <v>1</v>
      </c>
      <c r="P191">
        <v>0</v>
      </c>
      <c r="Q191">
        <v>0</v>
      </c>
      <c r="R191">
        <v>0</v>
      </c>
      <c r="S191">
        <v>2</v>
      </c>
      <c r="T191">
        <v>0</v>
      </c>
      <c r="U191">
        <v>0</v>
      </c>
      <c r="V191">
        <v>0</v>
      </c>
      <c r="W191">
        <v>0</v>
      </c>
      <c r="X191">
        <v>0</v>
      </c>
      <c r="Y191" t="s">
        <v>8</v>
      </c>
    </row>
    <row r="192" spans="1:25" x14ac:dyDescent="0.35">
      <c r="A192">
        <v>3277</v>
      </c>
      <c r="B192" t="s">
        <v>129</v>
      </c>
      <c r="C192" t="s">
        <v>2</v>
      </c>
      <c r="D192" t="s">
        <v>238</v>
      </c>
      <c r="E192">
        <v>0</v>
      </c>
      <c r="F192">
        <v>0</v>
      </c>
      <c r="G192">
        <v>1</v>
      </c>
      <c r="H192" t="s">
        <v>297</v>
      </c>
      <c r="I192">
        <v>5</v>
      </c>
      <c r="J192">
        <v>0</v>
      </c>
      <c r="K192">
        <v>0</v>
      </c>
      <c r="L192">
        <v>0</v>
      </c>
      <c r="M192">
        <v>0</v>
      </c>
      <c r="N192">
        <v>3</v>
      </c>
      <c r="O192">
        <v>2</v>
      </c>
      <c r="P192">
        <v>0</v>
      </c>
      <c r="Q192">
        <v>5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 t="s">
        <v>2</v>
      </c>
    </row>
    <row r="193" spans="1:25" x14ac:dyDescent="0.35">
      <c r="A193">
        <v>3290</v>
      </c>
      <c r="B193" t="s">
        <v>129</v>
      </c>
      <c r="C193" t="s">
        <v>2</v>
      </c>
      <c r="D193" t="s">
        <v>238</v>
      </c>
      <c r="E193">
        <v>0</v>
      </c>
      <c r="F193">
        <v>0</v>
      </c>
      <c r="G193">
        <v>0</v>
      </c>
      <c r="H193" t="s">
        <v>297</v>
      </c>
      <c r="I193">
        <v>6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0</v>
      </c>
      <c r="Q193">
        <v>6</v>
      </c>
      <c r="R193">
        <v>0</v>
      </c>
      <c r="S193">
        <v>3</v>
      </c>
      <c r="T193">
        <v>0</v>
      </c>
      <c r="U193">
        <v>0</v>
      </c>
      <c r="V193">
        <v>0</v>
      </c>
      <c r="W193">
        <v>0</v>
      </c>
      <c r="X193">
        <v>0</v>
      </c>
      <c r="Y193" t="s">
        <v>2</v>
      </c>
    </row>
    <row r="194" spans="1:25" x14ac:dyDescent="0.35">
      <c r="A194">
        <v>3312</v>
      </c>
      <c r="B194" t="s">
        <v>129</v>
      </c>
      <c r="C194" t="s">
        <v>119</v>
      </c>
      <c r="D194" t="s">
        <v>238</v>
      </c>
      <c r="E194">
        <v>1</v>
      </c>
      <c r="F194">
        <v>0</v>
      </c>
      <c r="G194">
        <v>0</v>
      </c>
      <c r="H194" t="s">
        <v>297</v>
      </c>
      <c r="I194">
        <v>8</v>
      </c>
      <c r="J194">
        <v>0</v>
      </c>
      <c r="K194">
        <v>8</v>
      </c>
      <c r="L194">
        <v>0</v>
      </c>
      <c r="M194">
        <v>0</v>
      </c>
      <c r="N194">
        <v>0</v>
      </c>
      <c r="O194">
        <v>1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</v>
      </c>
      <c r="Y194" t="s">
        <v>2</v>
      </c>
    </row>
    <row r="195" spans="1:25" x14ac:dyDescent="0.35">
      <c r="A195">
        <v>3418</v>
      </c>
      <c r="B195" t="s">
        <v>129</v>
      </c>
      <c r="C195" t="s">
        <v>2</v>
      </c>
      <c r="D195" t="s">
        <v>238</v>
      </c>
      <c r="E195">
        <v>0</v>
      </c>
      <c r="F195">
        <v>0</v>
      </c>
      <c r="G195">
        <v>0</v>
      </c>
      <c r="H195" t="s">
        <v>297</v>
      </c>
      <c r="I195">
        <v>5</v>
      </c>
      <c r="J195">
        <v>0</v>
      </c>
      <c r="K195">
        <v>0</v>
      </c>
      <c r="L195">
        <v>0</v>
      </c>
      <c r="M195">
        <v>0</v>
      </c>
      <c r="N195">
        <v>4</v>
      </c>
      <c r="O195">
        <v>1</v>
      </c>
      <c r="P195">
        <v>0</v>
      </c>
      <c r="Q195">
        <v>5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 t="s">
        <v>2</v>
      </c>
    </row>
    <row r="196" spans="1:25" x14ac:dyDescent="0.35">
      <c r="A196">
        <v>3467</v>
      </c>
      <c r="B196" t="s">
        <v>129</v>
      </c>
      <c r="C196" t="s">
        <v>119</v>
      </c>
      <c r="D196" t="s">
        <v>238</v>
      </c>
      <c r="E196">
        <v>1</v>
      </c>
      <c r="F196">
        <v>0</v>
      </c>
      <c r="G196">
        <v>0</v>
      </c>
      <c r="H196" t="s">
        <v>297</v>
      </c>
      <c r="I196">
        <v>7</v>
      </c>
      <c r="J196">
        <v>2</v>
      </c>
      <c r="K196">
        <v>7</v>
      </c>
      <c r="L196">
        <v>0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 t="s">
        <v>2</v>
      </c>
    </row>
    <row r="197" spans="1:25" x14ac:dyDescent="0.35">
      <c r="A197">
        <v>3469</v>
      </c>
      <c r="B197" t="s">
        <v>129</v>
      </c>
      <c r="C197" t="s">
        <v>119</v>
      </c>
      <c r="D197" t="s">
        <v>238</v>
      </c>
      <c r="E197">
        <v>1</v>
      </c>
      <c r="F197">
        <v>0</v>
      </c>
      <c r="G197">
        <v>0</v>
      </c>
      <c r="H197" t="s">
        <v>297</v>
      </c>
      <c r="I197">
        <v>8</v>
      </c>
      <c r="J197">
        <v>1</v>
      </c>
      <c r="K197">
        <v>8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1</v>
      </c>
      <c r="W197">
        <v>0</v>
      </c>
      <c r="X197">
        <v>0</v>
      </c>
      <c r="Y197" t="s">
        <v>2</v>
      </c>
    </row>
    <row r="198" spans="1:25" x14ac:dyDescent="0.35">
      <c r="A198">
        <v>3470</v>
      </c>
      <c r="B198" t="s">
        <v>129</v>
      </c>
      <c r="C198" t="s">
        <v>119</v>
      </c>
      <c r="D198" t="s">
        <v>238</v>
      </c>
      <c r="E198">
        <v>1</v>
      </c>
      <c r="F198">
        <v>0</v>
      </c>
      <c r="G198">
        <v>0</v>
      </c>
      <c r="H198" t="s">
        <v>297</v>
      </c>
      <c r="I198">
        <v>8</v>
      </c>
      <c r="J198">
        <v>1</v>
      </c>
      <c r="K198">
        <v>8</v>
      </c>
      <c r="L198">
        <v>1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 t="s">
        <v>2</v>
      </c>
    </row>
    <row r="199" spans="1:25" x14ac:dyDescent="0.35">
      <c r="A199">
        <v>3474</v>
      </c>
      <c r="B199" t="s">
        <v>129</v>
      </c>
      <c r="C199" t="s">
        <v>119</v>
      </c>
      <c r="D199" t="s">
        <v>238</v>
      </c>
      <c r="E199">
        <v>1</v>
      </c>
      <c r="F199">
        <v>0</v>
      </c>
      <c r="G199">
        <v>0</v>
      </c>
      <c r="H199" t="s">
        <v>297</v>
      </c>
      <c r="I199">
        <v>7</v>
      </c>
      <c r="J199">
        <v>2</v>
      </c>
      <c r="K199">
        <v>7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 t="s">
        <v>2</v>
      </c>
    </row>
    <row r="200" spans="1:25" x14ac:dyDescent="0.35">
      <c r="A200">
        <v>3476</v>
      </c>
      <c r="B200" t="s">
        <v>129</v>
      </c>
      <c r="C200" t="s">
        <v>119</v>
      </c>
      <c r="D200" t="s">
        <v>238</v>
      </c>
      <c r="E200">
        <v>1</v>
      </c>
      <c r="F200">
        <v>0</v>
      </c>
      <c r="G200">
        <v>0</v>
      </c>
      <c r="H200" t="s">
        <v>297</v>
      </c>
      <c r="I200">
        <v>6</v>
      </c>
      <c r="J200">
        <v>3</v>
      </c>
      <c r="K200">
        <v>6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 t="s">
        <v>2</v>
      </c>
    </row>
    <row r="201" spans="1:25" x14ac:dyDescent="0.35">
      <c r="A201">
        <v>3478</v>
      </c>
      <c r="B201" t="s">
        <v>129</v>
      </c>
      <c r="C201" t="s">
        <v>119</v>
      </c>
      <c r="D201" t="s">
        <v>238</v>
      </c>
      <c r="E201">
        <v>1</v>
      </c>
      <c r="F201">
        <v>0</v>
      </c>
      <c r="G201">
        <v>0</v>
      </c>
      <c r="H201" t="s">
        <v>297</v>
      </c>
      <c r="I201">
        <v>8</v>
      </c>
      <c r="J201">
        <v>1</v>
      </c>
      <c r="K201">
        <v>8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 t="s">
        <v>2</v>
      </c>
    </row>
    <row r="202" spans="1:25" x14ac:dyDescent="0.35">
      <c r="A202">
        <v>3481</v>
      </c>
      <c r="B202" t="s">
        <v>129</v>
      </c>
      <c r="C202" t="s">
        <v>119</v>
      </c>
      <c r="D202" t="s">
        <v>238</v>
      </c>
      <c r="E202">
        <v>0</v>
      </c>
      <c r="F202">
        <v>1</v>
      </c>
      <c r="G202">
        <v>0</v>
      </c>
      <c r="H202" t="s">
        <v>297</v>
      </c>
      <c r="I202">
        <v>7</v>
      </c>
      <c r="J202">
        <v>0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1</v>
      </c>
      <c r="R202">
        <v>0</v>
      </c>
      <c r="S202">
        <v>2</v>
      </c>
      <c r="T202">
        <v>0</v>
      </c>
      <c r="U202">
        <v>0</v>
      </c>
      <c r="V202">
        <v>0</v>
      </c>
      <c r="W202">
        <v>0</v>
      </c>
      <c r="X202">
        <v>0</v>
      </c>
      <c r="Y202" t="s">
        <v>2</v>
      </c>
    </row>
    <row r="203" spans="1:25" x14ac:dyDescent="0.35">
      <c r="A203">
        <v>3482</v>
      </c>
      <c r="B203" t="s">
        <v>129</v>
      </c>
      <c r="C203" t="s">
        <v>119</v>
      </c>
      <c r="D203" t="s">
        <v>238</v>
      </c>
      <c r="E203">
        <v>1</v>
      </c>
      <c r="F203">
        <v>0</v>
      </c>
      <c r="G203">
        <v>0</v>
      </c>
      <c r="H203" t="s">
        <v>297</v>
      </c>
      <c r="I203">
        <v>8</v>
      </c>
      <c r="J203">
        <v>1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 t="s">
        <v>2</v>
      </c>
    </row>
    <row r="204" spans="1:25" x14ac:dyDescent="0.35">
      <c r="A204">
        <v>3485</v>
      </c>
      <c r="B204" t="s">
        <v>129</v>
      </c>
      <c r="C204" t="s">
        <v>119</v>
      </c>
      <c r="D204" t="s">
        <v>238</v>
      </c>
      <c r="E204">
        <v>1</v>
      </c>
      <c r="F204">
        <v>0</v>
      </c>
      <c r="G204">
        <v>0</v>
      </c>
      <c r="H204" t="s">
        <v>297</v>
      </c>
      <c r="I204">
        <v>8</v>
      </c>
      <c r="J204">
        <v>1</v>
      </c>
      <c r="K204">
        <v>8</v>
      </c>
      <c r="L204">
        <v>0</v>
      </c>
      <c r="M204">
        <v>0</v>
      </c>
      <c r="N204">
        <v>0</v>
      </c>
      <c r="O204">
        <v>0</v>
      </c>
      <c r="P204">
        <v>1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 t="s">
        <v>2</v>
      </c>
    </row>
    <row r="205" spans="1:25" x14ac:dyDescent="0.35">
      <c r="A205">
        <v>3495</v>
      </c>
      <c r="B205" t="s">
        <v>129</v>
      </c>
      <c r="C205" t="s">
        <v>119</v>
      </c>
      <c r="D205" t="s">
        <v>238</v>
      </c>
      <c r="E205">
        <v>0</v>
      </c>
      <c r="F205">
        <v>0</v>
      </c>
      <c r="G205">
        <v>1</v>
      </c>
      <c r="H205" t="s">
        <v>297</v>
      </c>
      <c r="I205">
        <v>8</v>
      </c>
      <c r="J205">
        <v>1</v>
      </c>
      <c r="K205">
        <v>8</v>
      </c>
      <c r="L205">
        <v>1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 t="s">
        <v>2</v>
      </c>
    </row>
    <row r="206" spans="1:25" x14ac:dyDescent="0.35">
      <c r="A206">
        <v>3496</v>
      </c>
      <c r="B206" t="s">
        <v>129</v>
      </c>
      <c r="C206" t="s">
        <v>119</v>
      </c>
      <c r="D206" t="s">
        <v>238</v>
      </c>
      <c r="E206">
        <v>0</v>
      </c>
      <c r="F206">
        <v>1</v>
      </c>
      <c r="G206">
        <v>0</v>
      </c>
      <c r="H206" t="s">
        <v>297</v>
      </c>
      <c r="I206">
        <v>6</v>
      </c>
      <c r="J206">
        <v>3</v>
      </c>
      <c r="K206">
        <v>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 t="s">
        <v>2</v>
      </c>
    </row>
    <row r="207" spans="1:25" x14ac:dyDescent="0.35">
      <c r="A207">
        <v>3497</v>
      </c>
      <c r="B207" t="s">
        <v>129</v>
      </c>
      <c r="C207" t="s">
        <v>119</v>
      </c>
      <c r="D207" t="s">
        <v>238</v>
      </c>
      <c r="E207">
        <v>1</v>
      </c>
      <c r="F207">
        <v>0</v>
      </c>
      <c r="G207">
        <v>0</v>
      </c>
      <c r="H207" t="s">
        <v>297</v>
      </c>
      <c r="I207">
        <v>5</v>
      </c>
      <c r="J207">
        <v>3</v>
      </c>
      <c r="K207">
        <v>5</v>
      </c>
      <c r="L207">
        <v>0</v>
      </c>
      <c r="M207">
        <v>2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 t="s">
        <v>2</v>
      </c>
    </row>
    <row r="208" spans="1:25" x14ac:dyDescent="0.35">
      <c r="A208">
        <v>3500</v>
      </c>
      <c r="B208" t="s">
        <v>129</v>
      </c>
      <c r="C208" t="s">
        <v>119</v>
      </c>
      <c r="D208" t="s">
        <v>238</v>
      </c>
      <c r="E208">
        <v>1</v>
      </c>
      <c r="F208">
        <v>0</v>
      </c>
      <c r="G208">
        <v>0</v>
      </c>
      <c r="H208" t="s">
        <v>297</v>
      </c>
      <c r="I208">
        <v>5</v>
      </c>
      <c r="J208">
        <v>4</v>
      </c>
      <c r="K208">
        <v>5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1</v>
      </c>
      <c r="W208">
        <v>0</v>
      </c>
      <c r="X208">
        <v>0</v>
      </c>
      <c r="Y208" t="s">
        <v>2</v>
      </c>
    </row>
    <row r="209" spans="1:25" x14ac:dyDescent="0.35">
      <c r="A209">
        <v>3501</v>
      </c>
      <c r="B209" t="s">
        <v>129</v>
      </c>
      <c r="C209" t="s">
        <v>119</v>
      </c>
      <c r="D209" t="s">
        <v>238</v>
      </c>
      <c r="E209">
        <v>0</v>
      </c>
      <c r="F209">
        <v>0</v>
      </c>
      <c r="G209">
        <v>0</v>
      </c>
      <c r="H209" t="s">
        <v>297</v>
      </c>
      <c r="I209">
        <v>7</v>
      </c>
      <c r="J209">
        <v>2</v>
      </c>
      <c r="K209">
        <v>7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0</v>
      </c>
      <c r="X209">
        <v>0</v>
      </c>
      <c r="Y209" t="s">
        <v>2</v>
      </c>
    </row>
    <row r="210" spans="1:25" x14ac:dyDescent="0.35">
      <c r="A210">
        <v>3661</v>
      </c>
      <c r="B210" t="s">
        <v>129</v>
      </c>
      <c r="C210" t="s">
        <v>2</v>
      </c>
      <c r="D210" t="s">
        <v>238</v>
      </c>
      <c r="E210">
        <v>1</v>
      </c>
      <c r="F210">
        <v>0</v>
      </c>
      <c r="G210">
        <v>0</v>
      </c>
      <c r="H210" t="s">
        <v>297</v>
      </c>
      <c r="I210">
        <v>7</v>
      </c>
      <c r="J210">
        <v>0</v>
      </c>
      <c r="K210">
        <v>0</v>
      </c>
      <c r="L210">
        <v>0</v>
      </c>
      <c r="M210">
        <v>2</v>
      </c>
      <c r="N210">
        <v>0</v>
      </c>
      <c r="O210">
        <v>0</v>
      </c>
      <c r="P210">
        <v>0</v>
      </c>
      <c r="Q210">
        <v>7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 t="s">
        <v>2</v>
      </c>
    </row>
    <row r="211" spans="1:25" x14ac:dyDescent="0.35">
      <c r="A211">
        <v>3134</v>
      </c>
      <c r="B211" t="s">
        <v>172</v>
      </c>
      <c r="C211" t="s">
        <v>5</v>
      </c>
      <c r="D211" t="s">
        <v>205</v>
      </c>
      <c r="E211">
        <v>1</v>
      </c>
      <c r="F211">
        <v>0</v>
      </c>
      <c r="G211">
        <v>1</v>
      </c>
      <c r="H211" t="s">
        <v>297</v>
      </c>
      <c r="I211">
        <v>8</v>
      </c>
      <c r="J211">
        <v>0</v>
      </c>
      <c r="K211">
        <v>0</v>
      </c>
      <c r="L211">
        <v>0</v>
      </c>
      <c r="M211">
        <v>0</v>
      </c>
      <c r="N211">
        <v>8</v>
      </c>
      <c r="O211">
        <v>1</v>
      </c>
      <c r="P211">
        <v>0</v>
      </c>
      <c r="Q211">
        <v>0</v>
      </c>
      <c r="R211">
        <v>1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7</v>
      </c>
    </row>
    <row r="212" spans="1:25" x14ac:dyDescent="0.35">
      <c r="A212">
        <v>3140</v>
      </c>
      <c r="B212" t="s">
        <v>172</v>
      </c>
      <c r="C212" t="s">
        <v>5</v>
      </c>
      <c r="D212" t="s">
        <v>205</v>
      </c>
      <c r="E212">
        <v>1</v>
      </c>
      <c r="F212">
        <v>0</v>
      </c>
      <c r="G212">
        <v>0</v>
      </c>
      <c r="H212" t="s">
        <v>297</v>
      </c>
      <c r="I212">
        <v>7</v>
      </c>
      <c r="J212">
        <v>0</v>
      </c>
      <c r="K212">
        <v>0</v>
      </c>
      <c r="L212">
        <v>0</v>
      </c>
      <c r="M212">
        <v>0</v>
      </c>
      <c r="N212">
        <v>7</v>
      </c>
      <c r="O212">
        <v>2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 t="s">
        <v>7</v>
      </c>
    </row>
    <row r="213" spans="1:25" x14ac:dyDescent="0.35">
      <c r="A213">
        <v>3143</v>
      </c>
      <c r="B213" t="s">
        <v>172</v>
      </c>
      <c r="C213" t="s">
        <v>5</v>
      </c>
      <c r="D213" t="s">
        <v>205</v>
      </c>
      <c r="E213">
        <v>0</v>
      </c>
      <c r="F213">
        <v>0</v>
      </c>
      <c r="G213">
        <v>0</v>
      </c>
      <c r="H213" t="s">
        <v>297</v>
      </c>
      <c r="I213">
        <v>6</v>
      </c>
      <c r="J213">
        <v>0</v>
      </c>
      <c r="K213">
        <v>0</v>
      </c>
      <c r="L213">
        <v>0</v>
      </c>
      <c r="M213">
        <v>1</v>
      </c>
      <c r="N213">
        <v>6</v>
      </c>
      <c r="O213">
        <v>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7</v>
      </c>
    </row>
    <row r="214" spans="1:25" x14ac:dyDescent="0.35">
      <c r="A214">
        <v>3230</v>
      </c>
      <c r="B214" t="s">
        <v>172</v>
      </c>
      <c r="C214" t="s">
        <v>5</v>
      </c>
      <c r="D214" t="s">
        <v>205</v>
      </c>
      <c r="E214">
        <v>0</v>
      </c>
      <c r="F214">
        <v>0</v>
      </c>
      <c r="G214">
        <v>0</v>
      </c>
      <c r="H214" t="s">
        <v>297</v>
      </c>
      <c r="I214">
        <v>10</v>
      </c>
      <c r="J214">
        <v>0</v>
      </c>
      <c r="K214">
        <v>0</v>
      </c>
      <c r="L214">
        <v>0</v>
      </c>
      <c r="M214">
        <v>0</v>
      </c>
      <c r="N214">
        <v>10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t="s">
        <v>7</v>
      </c>
    </row>
    <row r="215" spans="1:25" x14ac:dyDescent="0.35">
      <c r="A215">
        <v>3238</v>
      </c>
      <c r="B215" t="s">
        <v>172</v>
      </c>
      <c r="C215" t="s">
        <v>5</v>
      </c>
      <c r="D215" t="s">
        <v>205</v>
      </c>
      <c r="E215">
        <v>0</v>
      </c>
      <c r="F215">
        <v>0</v>
      </c>
      <c r="G215">
        <v>0</v>
      </c>
      <c r="H215" t="s">
        <v>297</v>
      </c>
      <c r="I215">
        <v>6</v>
      </c>
      <c r="J215">
        <v>0</v>
      </c>
      <c r="K215">
        <v>0</v>
      </c>
      <c r="L215">
        <v>0</v>
      </c>
      <c r="M215">
        <v>0</v>
      </c>
      <c r="N215">
        <v>6</v>
      </c>
      <c r="O215">
        <v>3</v>
      </c>
      <c r="P215">
        <v>0</v>
      </c>
      <c r="Q215">
        <v>0</v>
      </c>
      <c r="R215">
        <v>1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 t="s">
        <v>7</v>
      </c>
    </row>
    <row r="216" spans="1:25" x14ac:dyDescent="0.35">
      <c r="A216">
        <v>3417</v>
      </c>
      <c r="B216" t="s">
        <v>172</v>
      </c>
      <c r="C216" t="s">
        <v>5</v>
      </c>
      <c r="D216" t="s">
        <v>205</v>
      </c>
      <c r="E216">
        <v>1</v>
      </c>
      <c r="F216">
        <v>0</v>
      </c>
      <c r="G216">
        <v>0</v>
      </c>
      <c r="H216" t="s">
        <v>297</v>
      </c>
      <c r="I216">
        <v>5</v>
      </c>
      <c r="J216">
        <v>0</v>
      </c>
      <c r="K216">
        <v>0</v>
      </c>
      <c r="L216">
        <v>0</v>
      </c>
      <c r="M216">
        <v>0</v>
      </c>
      <c r="N216">
        <v>5</v>
      </c>
      <c r="O216">
        <v>0</v>
      </c>
      <c r="P216">
        <v>0</v>
      </c>
      <c r="Q216">
        <v>0</v>
      </c>
      <c r="R216">
        <v>4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 t="s">
        <v>7</v>
      </c>
    </row>
    <row r="217" spans="1:25" x14ac:dyDescent="0.35">
      <c r="A217">
        <v>3593</v>
      </c>
      <c r="B217" t="s">
        <v>172</v>
      </c>
      <c r="C217" t="s">
        <v>5</v>
      </c>
      <c r="D217" t="s">
        <v>205</v>
      </c>
      <c r="E217">
        <v>1</v>
      </c>
      <c r="F217">
        <v>0</v>
      </c>
      <c r="G217">
        <v>0</v>
      </c>
      <c r="H217" t="s">
        <v>297</v>
      </c>
      <c r="I217">
        <v>5</v>
      </c>
      <c r="J217">
        <v>0</v>
      </c>
      <c r="K217">
        <v>0</v>
      </c>
      <c r="L217">
        <v>0</v>
      </c>
      <c r="M217">
        <v>0</v>
      </c>
      <c r="N217">
        <v>5</v>
      </c>
      <c r="O217">
        <v>3</v>
      </c>
      <c r="P217">
        <v>0</v>
      </c>
      <c r="Q217">
        <v>0</v>
      </c>
      <c r="R217">
        <v>0</v>
      </c>
      <c r="S217">
        <v>2</v>
      </c>
      <c r="T217">
        <v>0</v>
      </c>
      <c r="U217">
        <v>0</v>
      </c>
      <c r="V217">
        <v>0</v>
      </c>
      <c r="W217">
        <v>0</v>
      </c>
      <c r="X217">
        <v>0</v>
      </c>
      <c r="Y217" t="s">
        <v>7</v>
      </c>
    </row>
    <row r="218" spans="1:25" x14ac:dyDescent="0.35">
      <c r="A218">
        <v>3599</v>
      </c>
      <c r="B218" t="s">
        <v>172</v>
      </c>
      <c r="C218" t="s">
        <v>5</v>
      </c>
      <c r="D218" t="s">
        <v>205</v>
      </c>
      <c r="E218">
        <v>0</v>
      </c>
      <c r="F218">
        <v>0</v>
      </c>
      <c r="G218">
        <v>1</v>
      </c>
      <c r="H218" t="s">
        <v>297</v>
      </c>
      <c r="I218">
        <v>7</v>
      </c>
      <c r="J218">
        <v>0</v>
      </c>
      <c r="K218">
        <v>0</v>
      </c>
      <c r="L218">
        <v>0</v>
      </c>
      <c r="M218">
        <v>0</v>
      </c>
      <c r="N218">
        <v>7</v>
      </c>
      <c r="O218">
        <v>2</v>
      </c>
      <c r="P218">
        <v>0</v>
      </c>
      <c r="Q218">
        <v>0</v>
      </c>
      <c r="R218">
        <v>0</v>
      </c>
      <c r="S218">
        <v>1</v>
      </c>
      <c r="T218">
        <v>0</v>
      </c>
      <c r="U218">
        <v>0</v>
      </c>
      <c r="V218">
        <v>0</v>
      </c>
      <c r="W218">
        <v>0</v>
      </c>
      <c r="X218">
        <v>0</v>
      </c>
      <c r="Y218" t="s">
        <v>7</v>
      </c>
    </row>
    <row r="219" spans="1:25" x14ac:dyDescent="0.35">
      <c r="A219">
        <v>3602</v>
      </c>
      <c r="B219" t="s">
        <v>172</v>
      </c>
      <c r="C219" t="s">
        <v>5</v>
      </c>
      <c r="D219" t="s">
        <v>205</v>
      </c>
      <c r="E219">
        <v>0</v>
      </c>
      <c r="F219">
        <v>0</v>
      </c>
      <c r="G219">
        <v>0</v>
      </c>
      <c r="H219" t="s">
        <v>297</v>
      </c>
      <c r="I219">
        <v>5</v>
      </c>
      <c r="J219">
        <v>0</v>
      </c>
      <c r="K219">
        <v>0</v>
      </c>
      <c r="L219">
        <v>0</v>
      </c>
      <c r="M219">
        <v>0</v>
      </c>
      <c r="N219">
        <v>5</v>
      </c>
      <c r="O219">
        <v>3</v>
      </c>
      <c r="P219">
        <v>0</v>
      </c>
      <c r="Q219">
        <v>0</v>
      </c>
      <c r="R219">
        <v>2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 t="s">
        <v>7</v>
      </c>
    </row>
    <row r="220" spans="1:25" x14ac:dyDescent="0.35">
      <c r="A220">
        <v>3617</v>
      </c>
      <c r="B220" t="s">
        <v>172</v>
      </c>
      <c r="C220" t="s">
        <v>5</v>
      </c>
      <c r="D220" t="s">
        <v>205</v>
      </c>
      <c r="E220">
        <v>0</v>
      </c>
      <c r="F220">
        <v>0</v>
      </c>
      <c r="G220">
        <v>0</v>
      </c>
      <c r="H220" t="s">
        <v>297</v>
      </c>
      <c r="I220">
        <v>8</v>
      </c>
      <c r="J220">
        <v>0</v>
      </c>
      <c r="K220">
        <v>0</v>
      </c>
      <c r="L220">
        <v>0</v>
      </c>
      <c r="M220">
        <v>0</v>
      </c>
      <c r="N220">
        <v>8</v>
      </c>
      <c r="O220">
        <v>1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1</v>
      </c>
      <c r="Y220" t="s">
        <v>7</v>
      </c>
    </row>
    <row r="221" spans="1:25" x14ac:dyDescent="0.35">
      <c r="A221">
        <v>3622</v>
      </c>
      <c r="B221" t="s">
        <v>172</v>
      </c>
      <c r="C221" t="s">
        <v>5</v>
      </c>
      <c r="D221" t="s">
        <v>205</v>
      </c>
      <c r="E221">
        <v>0</v>
      </c>
      <c r="F221">
        <v>0</v>
      </c>
      <c r="G221">
        <v>0</v>
      </c>
      <c r="H221" t="s">
        <v>297</v>
      </c>
      <c r="I221">
        <v>6</v>
      </c>
      <c r="J221">
        <v>0</v>
      </c>
      <c r="K221">
        <v>0</v>
      </c>
      <c r="L221">
        <v>0</v>
      </c>
      <c r="M221">
        <v>0</v>
      </c>
      <c r="N221">
        <v>6</v>
      </c>
      <c r="O221">
        <v>3</v>
      </c>
      <c r="P221">
        <v>0</v>
      </c>
      <c r="Q221">
        <v>0</v>
      </c>
      <c r="R221">
        <v>0</v>
      </c>
      <c r="S221">
        <v>1</v>
      </c>
      <c r="T221">
        <v>0</v>
      </c>
      <c r="U221">
        <v>0</v>
      </c>
      <c r="V221">
        <v>0</v>
      </c>
      <c r="W221">
        <v>0</v>
      </c>
      <c r="X221">
        <v>0</v>
      </c>
      <c r="Y221" t="s">
        <v>7</v>
      </c>
    </row>
    <row r="222" spans="1:25" x14ac:dyDescent="0.35">
      <c r="A222">
        <v>3637</v>
      </c>
      <c r="B222" t="s">
        <v>172</v>
      </c>
      <c r="C222" t="s">
        <v>5</v>
      </c>
      <c r="D222" t="s">
        <v>205</v>
      </c>
      <c r="E222">
        <v>0</v>
      </c>
      <c r="F222">
        <v>0</v>
      </c>
      <c r="G222">
        <v>0</v>
      </c>
      <c r="H222" t="s">
        <v>297</v>
      </c>
      <c r="I222">
        <v>5</v>
      </c>
      <c r="J222">
        <v>0</v>
      </c>
      <c r="K222">
        <v>0</v>
      </c>
      <c r="L222">
        <v>0</v>
      </c>
      <c r="M222">
        <v>0</v>
      </c>
      <c r="N222">
        <v>5</v>
      </c>
      <c r="O222">
        <v>0</v>
      </c>
      <c r="P222">
        <v>0</v>
      </c>
      <c r="Q222">
        <v>1</v>
      </c>
      <c r="R222">
        <v>0</v>
      </c>
      <c r="S222">
        <v>4</v>
      </c>
      <c r="T222">
        <v>0</v>
      </c>
      <c r="U222">
        <v>0</v>
      </c>
      <c r="V222">
        <v>0</v>
      </c>
      <c r="W222">
        <v>0</v>
      </c>
      <c r="X222">
        <v>0</v>
      </c>
      <c r="Y222" t="s">
        <v>7</v>
      </c>
    </row>
    <row r="223" spans="1:25" x14ac:dyDescent="0.35">
      <c r="A223">
        <v>3645</v>
      </c>
      <c r="B223" t="s">
        <v>172</v>
      </c>
      <c r="C223" t="s">
        <v>5</v>
      </c>
      <c r="D223" t="s">
        <v>205</v>
      </c>
      <c r="E223">
        <v>0</v>
      </c>
      <c r="F223">
        <v>0</v>
      </c>
      <c r="G223">
        <v>0</v>
      </c>
      <c r="H223" t="s">
        <v>297</v>
      </c>
      <c r="I223">
        <v>6</v>
      </c>
      <c r="J223">
        <v>0</v>
      </c>
      <c r="K223">
        <v>0</v>
      </c>
      <c r="L223">
        <v>0</v>
      </c>
      <c r="M223">
        <v>0</v>
      </c>
      <c r="N223">
        <v>6</v>
      </c>
      <c r="O223">
        <v>0</v>
      </c>
      <c r="P223">
        <v>0</v>
      </c>
      <c r="Q223">
        <v>0</v>
      </c>
      <c r="R223">
        <v>0</v>
      </c>
      <c r="S223">
        <v>3</v>
      </c>
      <c r="T223">
        <v>1</v>
      </c>
      <c r="U223">
        <v>0</v>
      </c>
      <c r="V223">
        <v>0</v>
      </c>
      <c r="W223">
        <v>0</v>
      </c>
      <c r="X223">
        <v>0</v>
      </c>
      <c r="Y223" t="s">
        <v>7</v>
      </c>
    </row>
    <row r="224" spans="1:25" x14ac:dyDescent="0.35">
      <c r="A224">
        <v>3681</v>
      </c>
      <c r="B224" t="s">
        <v>172</v>
      </c>
      <c r="C224" t="s">
        <v>5</v>
      </c>
      <c r="D224" t="s">
        <v>205</v>
      </c>
      <c r="E224">
        <v>0</v>
      </c>
      <c r="F224">
        <v>0</v>
      </c>
      <c r="G224">
        <v>0</v>
      </c>
      <c r="H224" t="s">
        <v>297</v>
      </c>
      <c r="I224">
        <v>7</v>
      </c>
      <c r="J224">
        <v>0</v>
      </c>
      <c r="K224">
        <v>0</v>
      </c>
      <c r="L224">
        <v>0</v>
      </c>
      <c r="M224">
        <v>1</v>
      </c>
      <c r="N224">
        <v>7</v>
      </c>
      <c r="O224">
        <v>0</v>
      </c>
      <c r="P224">
        <v>0</v>
      </c>
      <c r="Q224">
        <v>2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 t="s">
        <v>7</v>
      </c>
    </row>
    <row r="225" spans="1:25" x14ac:dyDescent="0.35">
      <c r="A225">
        <v>3710</v>
      </c>
      <c r="B225" t="s">
        <v>172</v>
      </c>
      <c r="C225" t="s">
        <v>5</v>
      </c>
      <c r="D225" t="s">
        <v>205</v>
      </c>
      <c r="E225">
        <v>0</v>
      </c>
      <c r="F225">
        <v>0</v>
      </c>
      <c r="G225">
        <v>0</v>
      </c>
      <c r="H225" t="s">
        <v>297</v>
      </c>
      <c r="I225">
        <v>6</v>
      </c>
      <c r="J225">
        <v>0</v>
      </c>
      <c r="K225">
        <v>0</v>
      </c>
      <c r="L225">
        <v>0</v>
      </c>
      <c r="M225">
        <v>0</v>
      </c>
      <c r="N225">
        <v>6</v>
      </c>
      <c r="O225">
        <v>0</v>
      </c>
      <c r="P225">
        <v>0</v>
      </c>
      <c r="Q225">
        <v>0</v>
      </c>
      <c r="R225">
        <v>2</v>
      </c>
      <c r="S225">
        <v>0</v>
      </c>
      <c r="T225">
        <v>0</v>
      </c>
      <c r="U225">
        <v>2</v>
      </c>
      <c r="V225">
        <v>0</v>
      </c>
      <c r="W225">
        <v>0</v>
      </c>
      <c r="X225">
        <v>0</v>
      </c>
      <c r="Y225" t="s">
        <v>7</v>
      </c>
    </row>
    <row r="226" spans="1:25" x14ac:dyDescent="0.35">
      <c r="A226">
        <v>3741</v>
      </c>
      <c r="B226" t="s">
        <v>172</v>
      </c>
      <c r="C226" t="s">
        <v>5</v>
      </c>
      <c r="D226" t="s">
        <v>205</v>
      </c>
      <c r="E226">
        <v>0</v>
      </c>
      <c r="F226">
        <v>0</v>
      </c>
      <c r="G226">
        <v>0</v>
      </c>
      <c r="H226" t="s">
        <v>297</v>
      </c>
      <c r="I226">
        <v>7</v>
      </c>
      <c r="J226">
        <v>0</v>
      </c>
      <c r="K226">
        <v>0</v>
      </c>
      <c r="L226">
        <v>0</v>
      </c>
      <c r="M226">
        <v>0</v>
      </c>
      <c r="N226">
        <v>7</v>
      </c>
      <c r="O226">
        <v>0</v>
      </c>
      <c r="P226">
        <v>0</v>
      </c>
      <c r="Q226">
        <v>0</v>
      </c>
      <c r="R226">
        <v>1</v>
      </c>
      <c r="S226">
        <v>0</v>
      </c>
      <c r="T226">
        <v>2</v>
      </c>
      <c r="U226">
        <v>0</v>
      </c>
      <c r="V226">
        <v>0</v>
      </c>
      <c r="W226">
        <v>0</v>
      </c>
      <c r="X226">
        <v>0</v>
      </c>
      <c r="Y226" t="s">
        <v>7</v>
      </c>
    </row>
    <row r="227" spans="1:25" x14ac:dyDescent="0.35">
      <c r="A227">
        <v>3744</v>
      </c>
      <c r="B227" t="s">
        <v>172</v>
      </c>
      <c r="C227" t="s">
        <v>5</v>
      </c>
      <c r="D227" t="s">
        <v>205</v>
      </c>
      <c r="E227">
        <v>1</v>
      </c>
      <c r="F227">
        <v>0</v>
      </c>
      <c r="G227">
        <v>1</v>
      </c>
      <c r="H227" t="s">
        <v>297</v>
      </c>
      <c r="I227">
        <v>5</v>
      </c>
      <c r="J227">
        <v>0</v>
      </c>
      <c r="K227">
        <v>0</v>
      </c>
      <c r="L227">
        <v>0</v>
      </c>
      <c r="M227">
        <v>0</v>
      </c>
      <c r="N227">
        <v>5</v>
      </c>
      <c r="O227">
        <v>0</v>
      </c>
      <c r="P227">
        <v>0</v>
      </c>
      <c r="Q227">
        <v>0</v>
      </c>
      <c r="R227">
        <v>3</v>
      </c>
      <c r="S227">
        <v>0</v>
      </c>
      <c r="T227">
        <v>2</v>
      </c>
      <c r="U227">
        <v>0</v>
      </c>
      <c r="V227">
        <v>0</v>
      </c>
      <c r="W227">
        <v>0</v>
      </c>
      <c r="X227">
        <v>0</v>
      </c>
      <c r="Y227" t="s">
        <v>7</v>
      </c>
    </row>
    <row r="228" spans="1:25" x14ac:dyDescent="0.35">
      <c r="A228">
        <v>3810</v>
      </c>
      <c r="B228" t="s">
        <v>172</v>
      </c>
      <c r="C228" t="s">
        <v>5</v>
      </c>
      <c r="D228" t="s">
        <v>205</v>
      </c>
      <c r="E228">
        <v>1</v>
      </c>
      <c r="F228">
        <v>0</v>
      </c>
      <c r="G228">
        <v>0</v>
      </c>
      <c r="H228" t="s">
        <v>297</v>
      </c>
      <c r="I228">
        <v>6</v>
      </c>
      <c r="J228">
        <v>0</v>
      </c>
      <c r="K228">
        <v>2</v>
      </c>
      <c r="L228">
        <v>0</v>
      </c>
      <c r="M228">
        <v>2</v>
      </c>
      <c r="N228">
        <v>6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 t="s">
        <v>7</v>
      </c>
    </row>
    <row r="229" spans="1:25" x14ac:dyDescent="0.35">
      <c r="A229">
        <v>3814</v>
      </c>
      <c r="B229" t="s">
        <v>172</v>
      </c>
      <c r="C229" t="s">
        <v>5</v>
      </c>
      <c r="D229" t="s">
        <v>205</v>
      </c>
      <c r="E229">
        <v>1</v>
      </c>
      <c r="F229">
        <v>0</v>
      </c>
      <c r="G229">
        <v>0</v>
      </c>
      <c r="H229" t="s">
        <v>297</v>
      </c>
      <c r="I229">
        <v>8</v>
      </c>
      <c r="J229">
        <v>0</v>
      </c>
      <c r="K229">
        <v>1</v>
      </c>
      <c r="L229">
        <v>0</v>
      </c>
      <c r="M229">
        <v>0</v>
      </c>
      <c r="N229">
        <v>8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 t="s">
        <v>7</v>
      </c>
    </row>
    <row r="230" spans="1:25" x14ac:dyDescent="0.35">
      <c r="A230">
        <v>3820</v>
      </c>
      <c r="B230" t="s">
        <v>172</v>
      </c>
      <c r="C230" t="s">
        <v>5</v>
      </c>
      <c r="D230" t="s">
        <v>205</v>
      </c>
      <c r="E230">
        <v>1</v>
      </c>
      <c r="F230">
        <v>0</v>
      </c>
      <c r="G230">
        <v>0</v>
      </c>
      <c r="H230" t="s">
        <v>297</v>
      </c>
      <c r="I230">
        <v>8</v>
      </c>
      <c r="J230">
        <v>1</v>
      </c>
      <c r="K230">
        <v>0</v>
      </c>
      <c r="L230">
        <v>0</v>
      </c>
      <c r="M230">
        <v>0</v>
      </c>
      <c r="N230">
        <v>8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 t="s">
        <v>7</v>
      </c>
    </row>
    <row r="231" spans="1:25" x14ac:dyDescent="0.35">
      <c r="A231">
        <v>3836</v>
      </c>
      <c r="B231" t="s">
        <v>172</v>
      </c>
      <c r="C231" t="s">
        <v>5</v>
      </c>
      <c r="D231" t="s">
        <v>205</v>
      </c>
      <c r="E231">
        <v>1</v>
      </c>
      <c r="F231">
        <v>0</v>
      </c>
      <c r="G231">
        <v>0</v>
      </c>
      <c r="H231" t="s">
        <v>297</v>
      </c>
      <c r="I231">
        <v>5</v>
      </c>
      <c r="J231">
        <v>1</v>
      </c>
      <c r="K231">
        <v>0</v>
      </c>
      <c r="L231">
        <v>0</v>
      </c>
      <c r="M231">
        <v>0</v>
      </c>
      <c r="N231">
        <v>5</v>
      </c>
      <c r="O231">
        <v>0</v>
      </c>
      <c r="P231">
        <v>0</v>
      </c>
      <c r="Q231">
        <v>0</v>
      </c>
      <c r="R231">
        <v>0</v>
      </c>
      <c r="S231">
        <v>4</v>
      </c>
      <c r="T231">
        <v>0</v>
      </c>
      <c r="U231">
        <v>0</v>
      </c>
      <c r="V231">
        <v>0</v>
      </c>
      <c r="W231">
        <v>0</v>
      </c>
      <c r="X231">
        <v>0</v>
      </c>
      <c r="Y231" t="s">
        <v>7</v>
      </c>
    </row>
    <row r="232" spans="1:25" x14ac:dyDescent="0.35">
      <c r="A232">
        <v>3141</v>
      </c>
      <c r="B232" t="s">
        <v>154</v>
      </c>
      <c r="C232" t="s">
        <v>5</v>
      </c>
      <c r="D232" t="s">
        <v>313</v>
      </c>
      <c r="E232">
        <v>1</v>
      </c>
      <c r="F232">
        <v>0</v>
      </c>
      <c r="G232">
        <v>0</v>
      </c>
      <c r="H232" t="s">
        <v>297</v>
      </c>
      <c r="I232">
        <v>5</v>
      </c>
      <c r="J232">
        <v>0</v>
      </c>
      <c r="K232">
        <v>2</v>
      </c>
      <c r="L232">
        <v>0</v>
      </c>
      <c r="M232">
        <v>0</v>
      </c>
      <c r="N232">
        <v>5</v>
      </c>
      <c r="O232">
        <v>3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 t="s">
        <v>3</v>
      </c>
    </row>
    <row r="233" spans="1:25" x14ac:dyDescent="0.35">
      <c r="A233">
        <v>3147</v>
      </c>
      <c r="B233" t="s">
        <v>154</v>
      </c>
      <c r="C233" t="s">
        <v>5</v>
      </c>
      <c r="D233" t="s">
        <v>313</v>
      </c>
      <c r="E233">
        <v>0</v>
      </c>
      <c r="F233">
        <v>0</v>
      </c>
      <c r="G233">
        <v>0</v>
      </c>
      <c r="H233" t="s">
        <v>297</v>
      </c>
      <c r="I233">
        <v>8</v>
      </c>
      <c r="J233">
        <v>0</v>
      </c>
      <c r="K233">
        <v>0</v>
      </c>
      <c r="L233">
        <v>0</v>
      </c>
      <c r="M233">
        <v>0</v>
      </c>
      <c r="N233">
        <v>8</v>
      </c>
      <c r="O233">
        <v>1</v>
      </c>
      <c r="P233">
        <v>0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 t="s">
        <v>3</v>
      </c>
    </row>
    <row r="234" spans="1:25" x14ac:dyDescent="0.35">
      <c r="A234">
        <v>3198</v>
      </c>
      <c r="B234" t="s">
        <v>154</v>
      </c>
      <c r="C234" t="s">
        <v>5</v>
      </c>
      <c r="D234" t="s">
        <v>313</v>
      </c>
      <c r="E234">
        <v>0</v>
      </c>
      <c r="F234">
        <v>0</v>
      </c>
      <c r="G234">
        <v>0</v>
      </c>
      <c r="H234" t="s">
        <v>297</v>
      </c>
      <c r="I234">
        <v>6</v>
      </c>
      <c r="J234">
        <v>0</v>
      </c>
      <c r="K234">
        <v>0</v>
      </c>
      <c r="L234">
        <v>0</v>
      </c>
      <c r="M234">
        <v>0</v>
      </c>
      <c r="N234">
        <v>6</v>
      </c>
      <c r="O234">
        <v>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3</v>
      </c>
      <c r="V234">
        <v>0</v>
      </c>
      <c r="W234">
        <v>0</v>
      </c>
      <c r="X234">
        <v>0</v>
      </c>
      <c r="Y234" t="s">
        <v>3</v>
      </c>
    </row>
    <row r="235" spans="1:25" x14ac:dyDescent="0.35">
      <c r="A235">
        <v>3199</v>
      </c>
      <c r="B235" t="s">
        <v>154</v>
      </c>
      <c r="C235" t="s">
        <v>5</v>
      </c>
      <c r="D235" t="s">
        <v>313</v>
      </c>
      <c r="E235">
        <v>0</v>
      </c>
      <c r="F235">
        <v>0</v>
      </c>
      <c r="G235">
        <v>0</v>
      </c>
      <c r="H235" t="s">
        <v>297</v>
      </c>
      <c r="I235">
        <v>10</v>
      </c>
      <c r="J235">
        <v>0</v>
      </c>
      <c r="K235">
        <v>0</v>
      </c>
      <c r="L235">
        <v>0</v>
      </c>
      <c r="M235">
        <v>0</v>
      </c>
      <c r="N235">
        <v>10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 t="s">
        <v>3</v>
      </c>
    </row>
    <row r="236" spans="1:25" x14ac:dyDescent="0.35">
      <c r="A236">
        <v>3244</v>
      </c>
      <c r="B236" t="s">
        <v>154</v>
      </c>
      <c r="C236" t="s">
        <v>5</v>
      </c>
      <c r="D236" t="s">
        <v>313</v>
      </c>
      <c r="E236">
        <v>0</v>
      </c>
      <c r="F236">
        <v>0</v>
      </c>
      <c r="G236">
        <v>1</v>
      </c>
      <c r="H236" t="s">
        <v>297</v>
      </c>
      <c r="I236">
        <v>5</v>
      </c>
      <c r="J236">
        <v>0</v>
      </c>
      <c r="K236">
        <v>0</v>
      </c>
      <c r="L236">
        <v>0</v>
      </c>
      <c r="M236">
        <v>0</v>
      </c>
      <c r="N236">
        <v>5</v>
      </c>
      <c r="O236">
        <v>3</v>
      </c>
      <c r="P236">
        <v>0</v>
      </c>
      <c r="Q236">
        <v>0</v>
      </c>
      <c r="R236">
        <v>2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 t="s">
        <v>3</v>
      </c>
    </row>
    <row r="237" spans="1:25" x14ac:dyDescent="0.35">
      <c r="A237">
        <v>3246</v>
      </c>
      <c r="B237" t="s">
        <v>154</v>
      </c>
      <c r="C237" t="s">
        <v>5</v>
      </c>
      <c r="D237" t="s">
        <v>313</v>
      </c>
      <c r="E237">
        <v>0</v>
      </c>
      <c r="F237">
        <v>0</v>
      </c>
      <c r="G237">
        <v>1</v>
      </c>
      <c r="H237" t="s">
        <v>297</v>
      </c>
      <c r="I237">
        <v>8</v>
      </c>
      <c r="J237">
        <v>0</v>
      </c>
      <c r="K237">
        <v>0</v>
      </c>
      <c r="L237">
        <v>0</v>
      </c>
      <c r="M237">
        <v>0</v>
      </c>
      <c r="N237">
        <v>8</v>
      </c>
      <c r="O237">
        <v>1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1</v>
      </c>
      <c r="Y237" t="s">
        <v>3</v>
      </c>
    </row>
    <row r="238" spans="1:25" x14ac:dyDescent="0.35">
      <c r="A238">
        <v>3249</v>
      </c>
      <c r="B238" t="s">
        <v>154</v>
      </c>
      <c r="C238" t="s">
        <v>5</v>
      </c>
      <c r="D238" t="s">
        <v>313</v>
      </c>
      <c r="E238">
        <v>1</v>
      </c>
      <c r="F238">
        <v>0</v>
      </c>
      <c r="G238">
        <v>0</v>
      </c>
      <c r="H238" t="s">
        <v>297</v>
      </c>
      <c r="I238">
        <v>5</v>
      </c>
      <c r="J238">
        <v>0</v>
      </c>
      <c r="K238">
        <v>0</v>
      </c>
      <c r="L238">
        <v>0</v>
      </c>
      <c r="M238">
        <v>0</v>
      </c>
      <c r="N238">
        <v>5</v>
      </c>
      <c r="O238">
        <v>4</v>
      </c>
      <c r="P238">
        <v>0</v>
      </c>
      <c r="Q238">
        <v>0</v>
      </c>
      <c r="R238">
        <v>1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 t="s">
        <v>3</v>
      </c>
    </row>
    <row r="239" spans="1:25" x14ac:dyDescent="0.35">
      <c r="A239">
        <v>3251</v>
      </c>
      <c r="B239" t="s">
        <v>154</v>
      </c>
      <c r="C239" t="s">
        <v>5</v>
      </c>
      <c r="D239" t="s">
        <v>313</v>
      </c>
      <c r="E239">
        <v>0</v>
      </c>
      <c r="F239">
        <v>0</v>
      </c>
      <c r="G239">
        <v>0</v>
      </c>
      <c r="H239" t="s">
        <v>297</v>
      </c>
      <c r="I239">
        <v>5</v>
      </c>
      <c r="J239">
        <v>0</v>
      </c>
      <c r="K239">
        <v>0</v>
      </c>
      <c r="L239">
        <v>0</v>
      </c>
      <c r="M239">
        <v>0</v>
      </c>
      <c r="N239">
        <v>5</v>
      </c>
      <c r="O239">
        <v>4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3</v>
      </c>
    </row>
    <row r="240" spans="1:25" x14ac:dyDescent="0.35">
      <c r="A240">
        <v>3409</v>
      </c>
      <c r="B240" t="s">
        <v>154</v>
      </c>
      <c r="C240" t="s">
        <v>5</v>
      </c>
      <c r="D240" t="s">
        <v>313</v>
      </c>
      <c r="E240">
        <v>0</v>
      </c>
      <c r="F240">
        <v>0</v>
      </c>
      <c r="G240">
        <v>0</v>
      </c>
      <c r="H240" t="s">
        <v>297</v>
      </c>
      <c r="I240">
        <v>7</v>
      </c>
      <c r="J240">
        <v>0</v>
      </c>
      <c r="K240">
        <v>0</v>
      </c>
      <c r="L240">
        <v>0</v>
      </c>
      <c r="M240">
        <v>0</v>
      </c>
      <c r="N240">
        <v>7</v>
      </c>
      <c r="O240">
        <v>1</v>
      </c>
      <c r="P240">
        <v>0</v>
      </c>
      <c r="Q240">
        <v>0</v>
      </c>
      <c r="R240">
        <v>2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 t="s">
        <v>3</v>
      </c>
    </row>
    <row r="241" spans="1:25" x14ac:dyDescent="0.35">
      <c r="A241">
        <v>3410</v>
      </c>
      <c r="B241" t="s">
        <v>154</v>
      </c>
      <c r="C241" t="s">
        <v>5</v>
      </c>
      <c r="D241" t="s">
        <v>313</v>
      </c>
      <c r="E241">
        <v>1</v>
      </c>
      <c r="F241">
        <v>0</v>
      </c>
      <c r="G241">
        <v>0</v>
      </c>
      <c r="H241" t="s">
        <v>297</v>
      </c>
      <c r="I241">
        <v>5</v>
      </c>
      <c r="J241">
        <v>0</v>
      </c>
      <c r="K241">
        <v>0</v>
      </c>
      <c r="L241">
        <v>0</v>
      </c>
      <c r="M241">
        <v>0</v>
      </c>
      <c r="N241">
        <v>5</v>
      </c>
      <c r="O241">
        <v>1</v>
      </c>
      <c r="P241">
        <v>0</v>
      </c>
      <c r="Q241">
        <v>0</v>
      </c>
      <c r="R241">
        <v>4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 t="s">
        <v>3</v>
      </c>
    </row>
    <row r="242" spans="1:25" x14ac:dyDescent="0.35">
      <c r="A242">
        <v>3411</v>
      </c>
      <c r="B242" t="s">
        <v>154</v>
      </c>
      <c r="C242" t="s">
        <v>5</v>
      </c>
      <c r="D242" t="s">
        <v>313</v>
      </c>
      <c r="E242">
        <v>1</v>
      </c>
      <c r="F242">
        <v>0</v>
      </c>
      <c r="G242">
        <v>0</v>
      </c>
      <c r="H242" t="s">
        <v>297</v>
      </c>
      <c r="I242">
        <v>5</v>
      </c>
      <c r="J242">
        <v>0</v>
      </c>
      <c r="K242">
        <v>0</v>
      </c>
      <c r="L242">
        <v>0</v>
      </c>
      <c r="M242">
        <v>0</v>
      </c>
      <c r="N242">
        <v>5</v>
      </c>
      <c r="O242">
        <v>0</v>
      </c>
      <c r="P242">
        <v>0</v>
      </c>
      <c r="Q242">
        <v>0</v>
      </c>
      <c r="R242">
        <v>3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2</v>
      </c>
      <c r="Y242" t="s">
        <v>3</v>
      </c>
    </row>
    <row r="243" spans="1:25" x14ac:dyDescent="0.35">
      <c r="A243">
        <v>3412</v>
      </c>
      <c r="B243" t="s">
        <v>154</v>
      </c>
      <c r="C243" t="s">
        <v>5</v>
      </c>
      <c r="D243" t="s">
        <v>313</v>
      </c>
      <c r="E243">
        <v>1</v>
      </c>
      <c r="F243">
        <v>0</v>
      </c>
      <c r="G243">
        <v>0</v>
      </c>
      <c r="H243" t="s">
        <v>297</v>
      </c>
      <c r="I243">
        <v>5</v>
      </c>
      <c r="J243">
        <v>0</v>
      </c>
      <c r="K243">
        <v>0</v>
      </c>
      <c r="L243">
        <v>0</v>
      </c>
      <c r="M243">
        <v>0</v>
      </c>
      <c r="N243">
        <v>5</v>
      </c>
      <c r="O243">
        <v>2</v>
      </c>
      <c r="P243">
        <v>0</v>
      </c>
      <c r="Q243">
        <v>0</v>
      </c>
      <c r="R243">
        <v>3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 t="s">
        <v>3</v>
      </c>
    </row>
    <row r="244" spans="1:25" x14ac:dyDescent="0.35">
      <c r="A244">
        <v>3413</v>
      </c>
      <c r="B244" t="s">
        <v>154</v>
      </c>
      <c r="C244" t="s">
        <v>5</v>
      </c>
      <c r="D244" t="s">
        <v>313</v>
      </c>
      <c r="E244">
        <v>0</v>
      </c>
      <c r="F244">
        <v>0</v>
      </c>
      <c r="G244">
        <v>0</v>
      </c>
      <c r="H244" t="s">
        <v>297</v>
      </c>
      <c r="I244">
        <v>5</v>
      </c>
      <c r="J244">
        <v>0</v>
      </c>
      <c r="K244">
        <v>0</v>
      </c>
      <c r="L244">
        <v>0</v>
      </c>
      <c r="M244">
        <v>0</v>
      </c>
      <c r="N244">
        <v>5</v>
      </c>
      <c r="O244">
        <v>1</v>
      </c>
      <c r="P244">
        <v>0</v>
      </c>
      <c r="Q244">
        <v>0</v>
      </c>
      <c r="R244">
        <v>4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 t="s">
        <v>3</v>
      </c>
    </row>
    <row r="245" spans="1:25" x14ac:dyDescent="0.35">
      <c r="A245">
        <v>3414</v>
      </c>
      <c r="B245" t="s">
        <v>154</v>
      </c>
      <c r="C245" t="s">
        <v>5</v>
      </c>
      <c r="D245" t="s">
        <v>313</v>
      </c>
      <c r="E245">
        <v>0</v>
      </c>
      <c r="F245">
        <v>0</v>
      </c>
      <c r="G245">
        <v>0</v>
      </c>
      <c r="H245" t="s">
        <v>297</v>
      </c>
      <c r="I245">
        <v>7</v>
      </c>
      <c r="J245">
        <v>0</v>
      </c>
      <c r="K245">
        <v>0</v>
      </c>
      <c r="L245">
        <v>0</v>
      </c>
      <c r="M245">
        <v>0</v>
      </c>
      <c r="N245">
        <v>7</v>
      </c>
      <c r="O245">
        <v>1</v>
      </c>
      <c r="P245">
        <v>0</v>
      </c>
      <c r="Q245">
        <v>0</v>
      </c>
      <c r="R245">
        <v>2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 t="s">
        <v>3</v>
      </c>
    </row>
    <row r="246" spans="1:25" x14ac:dyDescent="0.35">
      <c r="A246">
        <v>3419</v>
      </c>
      <c r="B246" t="s">
        <v>154</v>
      </c>
      <c r="C246" t="s">
        <v>5</v>
      </c>
      <c r="D246" t="s">
        <v>313</v>
      </c>
      <c r="E246">
        <v>1</v>
      </c>
      <c r="F246">
        <v>0</v>
      </c>
      <c r="G246">
        <v>0</v>
      </c>
      <c r="H246" t="s">
        <v>297</v>
      </c>
      <c r="I246">
        <v>8</v>
      </c>
      <c r="J246">
        <v>0</v>
      </c>
      <c r="K246">
        <v>0</v>
      </c>
      <c r="L246">
        <v>0</v>
      </c>
      <c r="M246">
        <v>0</v>
      </c>
      <c r="N246">
        <v>8</v>
      </c>
      <c r="O246">
        <v>0</v>
      </c>
      <c r="P246">
        <v>0</v>
      </c>
      <c r="Q246">
        <v>0</v>
      </c>
      <c r="R246">
        <v>1</v>
      </c>
      <c r="S246">
        <v>0</v>
      </c>
      <c r="T246">
        <v>0</v>
      </c>
      <c r="U246">
        <v>1</v>
      </c>
      <c r="V246">
        <v>0</v>
      </c>
      <c r="W246">
        <v>0</v>
      </c>
      <c r="X246">
        <v>0</v>
      </c>
      <c r="Y246" t="s">
        <v>3</v>
      </c>
    </row>
    <row r="247" spans="1:25" x14ac:dyDescent="0.35">
      <c r="A247">
        <v>3612</v>
      </c>
      <c r="B247" t="s">
        <v>154</v>
      </c>
      <c r="C247" t="s">
        <v>5</v>
      </c>
      <c r="D247" t="s">
        <v>313</v>
      </c>
      <c r="E247">
        <v>0</v>
      </c>
      <c r="F247">
        <v>0</v>
      </c>
      <c r="G247">
        <v>0</v>
      </c>
      <c r="H247" t="s">
        <v>297</v>
      </c>
      <c r="I247">
        <v>5</v>
      </c>
      <c r="J247">
        <v>0</v>
      </c>
      <c r="K247">
        <v>0</v>
      </c>
      <c r="L247">
        <v>0</v>
      </c>
      <c r="M247">
        <v>0</v>
      </c>
      <c r="N247">
        <v>5</v>
      </c>
      <c r="O247">
        <v>4</v>
      </c>
      <c r="P247">
        <v>0</v>
      </c>
      <c r="Q247">
        <v>0</v>
      </c>
      <c r="R247">
        <v>0</v>
      </c>
      <c r="S247">
        <v>1</v>
      </c>
      <c r="T247">
        <v>0</v>
      </c>
      <c r="U247">
        <v>0</v>
      </c>
      <c r="V247">
        <v>0</v>
      </c>
      <c r="W247">
        <v>0</v>
      </c>
      <c r="X247">
        <v>0</v>
      </c>
      <c r="Y247" t="s">
        <v>3</v>
      </c>
    </row>
    <row r="248" spans="1:25" x14ac:dyDescent="0.35">
      <c r="A248">
        <v>3613</v>
      </c>
      <c r="B248" t="s">
        <v>154</v>
      </c>
      <c r="C248" t="s">
        <v>5</v>
      </c>
      <c r="D248" t="s">
        <v>313</v>
      </c>
      <c r="E248">
        <v>0</v>
      </c>
      <c r="F248">
        <v>0</v>
      </c>
      <c r="G248">
        <v>0</v>
      </c>
      <c r="H248" t="s">
        <v>297</v>
      </c>
      <c r="I248">
        <v>7</v>
      </c>
      <c r="J248">
        <v>0</v>
      </c>
      <c r="K248">
        <v>1</v>
      </c>
      <c r="L248">
        <v>0</v>
      </c>
      <c r="M248">
        <v>0</v>
      </c>
      <c r="N248">
        <v>7</v>
      </c>
      <c r="O248">
        <v>2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t="s">
        <v>3</v>
      </c>
    </row>
    <row r="249" spans="1:25" x14ac:dyDescent="0.35">
      <c r="A249">
        <v>3615</v>
      </c>
      <c r="B249" t="s">
        <v>154</v>
      </c>
      <c r="C249" t="s">
        <v>5</v>
      </c>
      <c r="D249" t="s">
        <v>313</v>
      </c>
      <c r="E249">
        <v>1</v>
      </c>
      <c r="F249">
        <v>0</v>
      </c>
      <c r="G249">
        <v>0</v>
      </c>
      <c r="H249" t="s">
        <v>297</v>
      </c>
      <c r="I249">
        <v>7</v>
      </c>
      <c r="J249">
        <v>0</v>
      </c>
      <c r="K249">
        <v>0</v>
      </c>
      <c r="L249">
        <v>0</v>
      </c>
      <c r="M249">
        <v>0</v>
      </c>
      <c r="N249">
        <v>7</v>
      </c>
      <c r="O249">
        <v>2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1</v>
      </c>
      <c r="Y249" t="s">
        <v>3</v>
      </c>
    </row>
    <row r="250" spans="1:25" x14ac:dyDescent="0.35">
      <c r="A250">
        <v>3714</v>
      </c>
      <c r="B250" t="s">
        <v>154</v>
      </c>
      <c r="C250" t="s">
        <v>5</v>
      </c>
      <c r="D250" t="s">
        <v>313</v>
      </c>
      <c r="E250">
        <v>1</v>
      </c>
      <c r="F250">
        <v>0</v>
      </c>
      <c r="G250">
        <v>0</v>
      </c>
      <c r="H250" t="s">
        <v>297</v>
      </c>
      <c r="I250">
        <v>7</v>
      </c>
      <c r="J250">
        <v>0</v>
      </c>
      <c r="K250">
        <v>0</v>
      </c>
      <c r="L250">
        <v>0</v>
      </c>
      <c r="M250">
        <v>0</v>
      </c>
      <c r="N250">
        <v>7</v>
      </c>
      <c r="O250">
        <v>1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</v>
      </c>
      <c r="V250">
        <v>0</v>
      </c>
      <c r="W250">
        <v>0</v>
      </c>
      <c r="X250">
        <v>0</v>
      </c>
      <c r="Y250" t="s">
        <v>3</v>
      </c>
    </row>
    <row r="251" spans="1:25" x14ac:dyDescent="0.35">
      <c r="A251">
        <v>3813</v>
      </c>
      <c r="B251" t="s">
        <v>154</v>
      </c>
      <c r="C251" t="s">
        <v>5</v>
      </c>
      <c r="D251" t="s">
        <v>313</v>
      </c>
      <c r="E251">
        <v>0</v>
      </c>
      <c r="F251">
        <v>0</v>
      </c>
      <c r="G251">
        <v>0</v>
      </c>
      <c r="H251" t="s">
        <v>297</v>
      </c>
      <c r="I251">
        <v>8</v>
      </c>
      <c r="J251">
        <v>1</v>
      </c>
      <c r="K251">
        <v>1</v>
      </c>
      <c r="L251">
        <v>0</v>
      </c>
      <c r="M251">
        <v>0</v>
      </c>
      <c r="N251">
        <v>8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t="s">
        <v>3</v>
      </c>
    </row>
    <row r="252" spans="1:25" x14ac:dyDescent="0.35">
      <c r="A252">
        <v>3848</v>
      </c>
      <c r="B252" t="s">
        <v>154</v>
      </c>
      <c r="C252" t="s">
        <v>5</v>
      </c>
      <c r="D252" t="s">
        <v>313</v>
      </c>
      <c r="E252">
        <v>1</v>
      </c>
      <c r="F252">
        <v>0</v>
      </c>
      <c r="G252">
        <v>0</v>
      </c>
      <c r="H252" t="s">
        <v>297</v>
      </c>
      <c r="I252">
        <v>7</v>
      </c>
      <c r="J252">
        <v>0</v>
      </c>
      <c r="K252">
        <v>0</v>
      </c>
      <c r="L252">
        <v>2</v>
      </c>
      <c r="M252">
        <v>0</v>
      </c>
      <c r="N252">
        <v>7</v>
      </c>
      <c r="O252">
        <v>0</v>
      </c>
      <c r="P252">
        <v>0</v>
      </c>
      <c r="Q252">
        <v>0</v>
      </c>
      <c r="R252">
        <v>1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 t="s">
        <v>3</v>
      </c>
    </row>
    <row r="253" spans="1:25" x14ac:dyDescent="0.35">
      <c r="A253">
        <v>3163</v>
      </c>
      <c r="B253" t="s">
        <v>144</v>
      </c>
      <c r="C253" t="s">
        <v>119</v>
      </c>
      <c r="D253" t="s">
        <v>207</v>
      </c>
      <c r="E253">
        <v>1</v>
      </c>
      <c r="F253">
        <v>0</v>
      </c>
      <c r="G253">
        <v>0</v>
      </c>
      <c r="H253" t="s">
        <v>297</v>
      </c>
      <c r="I253">
        <v>5</v>
      </c>
      <c r="J253">
        <v>0</v>
      </c>
      <c r="K253">
        <v>5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4</v>
      </c>
      <c r="R253">
        <v>0</v>
      </c>
      <c r="S253">
        <v>0</v>
      </c>
      <c r="T253">
        <v>0</v>
      </c>
      <c r="U253">
        <v>0</v>
      </c>
      <c r="V253">
        <v>1</v>
      </c>
      <c r="W253">
        <v>0</v>
      </c>
      <c r="X253">
        <v>0</v>
      </c>
      <c r="Y253" t="s">
        <v>119</v>
      </c>
    </row>
    <row r="254" spans="1:25" x14ac:dyDescent="0.35">
      <c r="A254">
        <v>3164</v>
      </c>
      <c r="B254" t="s">
        <v>144</v>
      </c>
      <c r="C254" t="s">
        <v>119</v>
      </c>
      <c r="D254" t="s">
        <v>207</v>
      </c>
      <c r="E254">
        <v>0</v>
      </c>
      <c r="F254">
        <v>0</v>
      </c>
      <c r="G254">
        <v>1</v>
      </c>
      <c r="H254" t="s">
        <v>297</v>
      </c>
      <c r="I254">
        <v>5</v>
      </c>
      <c r="J254">
        <v>0</v>
      </c>
      <c r="K254">
        <v>5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3</v>
      </c>
      <c r="T254">
        <v>2</v>
      </c>
      <c r="U254">
        <v>0</v>
      </c>
      <c r="V254">
        <v>0</v>
      </c>
      <c r="W254">
        <v>0</v>
      </c>
      <c r="X254">
        <v>0</v>
      </c>
      <c r="Y254" t="s">
        <v>119</v>
      </c>
    </row>
    <row r="255" spans="1:25" x14ac:dyDescent="0.35">
      <c r="A255">
        <v>3165</v>
      </c>
      <c r="B255" t="s">
        <v>144</v>
      </c>
      <c r="C255" t="s">
        <v>119</v>
      </c>
      <c r="D255" t="s">
        <v>207</v>
      </c>
      <c r="E255">
        <v>0</v>
      </c>
      <c r="F255">
        <v>0</v>
      </c>
      <c r="G255">
        <v>1</v>
      </c>
      <c r="H255" t="s">
        <v>297</v>
      </c>
      <c r="I255">
        <v>8</v>
      </c>
      <c r="J255">
        <v>0</v>
      </c>
      <c r="K255">
        <v>8</v>
      </c>
      <c r="L255">
        <v>0</v>
      </c>
      <c r="M255">
        <v>0</v>
      </c>
      <c r="N255">
        <v>0</v>
      </c>
      <c r="O255">
        <v>1</v>
      </c>
      <c r="P255">
        <v>0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 t="s">
        <v>119</v>
      </c>
    </row>
    <row r="256" spans="1:25" x14ac:dyDescent="0.35">
      <c r="A256">
        <v>3168</v>
      </c>
      <c r="B256" t="s">
        <v>144</v>
      </c>
      <c r="C256" t="s">
        <v>119</v>
      </c>
      <c r="D256" t="s">
        <v>207</v>
      </c>
      <c r="E256">
        <v>1</v>
      </c>
      <c r="F256">
        <v>0</v>
      </c>
      <c r="G256">
        <v>0</v>
      </c>
      <c r="H256" t="s">
        <v>297</v>
      </c>
      <c r="I256">
        <v>8</v>
      </c>
      <c r="J256">
        <v>0</v>
      </c>
      <c r="K256">
        <v>8</v>
      </c>
      <c r="L256">
        <v>0</v>
      </c>
      <c r="M256">
        <v>1</v>
      </c>
      <c r="N256">
        <v>0</v>
      </c>
      <c r="O256">
        <v>1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 t="s">
        <v>119</v>
      </c>
    </row>
    <row r="257" spans="1:25" x14ac:dyDescent="0.35">
      <c r="A257">
        <v>3172</v>
      </c>
      <c r="B257" t="s">
        <v>144</v>
      </c>
      <c r="C257" t="s">
        <v>119</v>
      </c>
      <c r="D257" t="s">
        <v>207</v>
      </c>
      <c r="E257">
        <v>1</v>
      </c>
      <c r="F257">
        <v>0</v>
      </c>
      <c r="G257">
        <v>0</v>
      </c>
      <c r="H257" t="s">
        <v>297</v>
      </c>
      <c r="I257">
        <v>6</v>
      </c>
      <c r="J257">
        <v>0</v>
      </c>
      <c r="K257">
        <v>6</v>
      </c>
      <c r="L257">
        <v>0</v>
      </c>
      <c r="M257">
        <v>3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 t="s">
        <v>119</v>
      </c>
    </row>
    <row r="258" spans="1:25" x14ac:dyDescent="0.35">
      <c r="A258">
        <v>3174</v>
      </c>
      <c r="B258" t="s">
        <v>144</v>
      </c>
      <c r="C258" t="s">
        <v>119</v>
      </c>
      <c r="D258" t="s">
        <v>207</v>
      </c>
      <c r="E258">
        <v>1</v>
      </c>
      <c r="F258">
        <v>0</v>
      </c>
      <c r="G258">
        <v>0</v>
      </c>
      <c r="H258" t="s">
        <v>297</v>
      </c>
      <c r="I258">
        <v>7</v>
      </c>
      <c r="J258">
        <v>0</v>
      </c>
      <c r="K258">
        <v>7</v>
      </c>
      <c r="L258">
        <v>0</v>
      </c>
      <c r="M258">
        <v>2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 t="s">
        <v>119</v>
      </c>
    </row>
    <row r="259" spans="1:25" x14ac:dyDescent="0.35">
      <c r="A259">
        <v>3176</v>
      </c>
      <c r="B259" t="s">
        <v>144</v>
      </c>
      <c r="C259" t="s">
        <v>119</v>
      </c>
      <c r="D259" t="s">
        <v>207</v>
      </c>
      <c r="E259">
        <v>1</v>
      </c>
      <c r="F259">
        <v>0</v>
      </c>
      <c r="G259">
        <v>0</v>
      </c>
      <c r="H259" t="s">
        <v>297</v>
      </c>
      <c r="I259">
        <v>8</v>
      </c>
      <c r="J259">
        <v>0</v>
      </c>
      <c r="K259">
        <v>8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</v>
      </c>
      <c r="Y259" t="s">
        <v>119</v>
      </c>
    </row>
    <row r="260" spans="1:25" x14ac:dyDescent="0.35">
      <c r="A260">
        <v>3177</v>
      </c>
      <c r="B260" t="s">
        <v>144</v>
      </c>
      <c r="C260" t="s">
        <v>119</v>
      </c>
      <c r="D260" t="s">
        <v>207</v>
      </c>
      <c r="E260">
        <v>1</v>
      </c>
      <c r="F260">
        <v>0</v>
      </c>
      <c r="G260">
        <v>0</v>
      </c>
      <c r="H260" t="s">
        <v>297</v>
      </c>
      <c r="I260">
        <v>6</v>
      </c>
      <c r="J260">
        <v>0</v>
      </c>
      <c r="K260">
        <v>6</v>
      </c>
      <c r="L260">
        <v>0</v>
      </c>
      <c r="M260">
        <v>3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 t="s">
        <v>119</v>
      </c>
    </row>
    <row r="261" spans="1:25" x14ac:dyDescent="0.35">
      <c r="A261">
        <v>3178</v>
      </c>
      <c r="B261" t="s">
        <v>144</v>
      </c>
      <c r="C261" t="s">
        <v>119</v>
      </c>
      <c r="D261" t="s">
        <v>207</v>
      </c>
      <c r="E261">
        <v>0</v>
      </c>
      <c r="F261">
        <v>0</v>
      </c>
      <c r="G261">
        <v>0</v>
      </c>
      <c r="H261" t="s">
        <v>297</v>
      </c>
      <c r="I261">
        <v>7</v>
      </c>
      <c r="J261">
        <v>0</v>
      </c>
      <c r="K261">
        <v>7</v>
      </c>
      <c r="L261">
        <v>0</v>
      </c>
      <c r="M261">
        <v>2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1</v>
      </c>
      <c r="W261">
        <v>0</v>
      </c>
      <c r="X261">
        <v>0</v>
      </c>
      <c r="Y261" t="s">
        <v>119</v>
      </c>
    </row>
    <row r="262" spans="1:25" x14ac:dyDescent="0.35">
      <c r="A262">
        <v>3181</v>
      </c>
      <c r="B262" t="s">
        <v>144</v>
      </c>
      <c r="C262" t="s">
        <v>119</v>
      </c>
      <c r="D262" t="s">
        <v>207</v>
      </c>
      <c r="E262">
        <v>1</v>
      </c>
      <c r="F262">
        <v>0</v>
      </c>
      <c r="G262">
        <v>0</v>
      </c>
      <c r="H262" t="s">
        <v>297</v>
      </c>
      <c r="I262">
        <v>6</v>
      </c>
      <c r="J262">
        <v>0</v>
      </c>
      <c r="K262">
        <v>6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3</v>
      </c>
      <c r="U262">
        <v>0</v>
      </c>
      <c r="V262">
        <v>0</v>
      </c>
      <c r="W262">
        <v>0</v>
      </c>
      <c r="X262">
        <v>0</v>
      </c>
      <c r="Y262" t="s">
        <v>119</v>
      </c>
    </row>
    <row r="263" spans="1:25" x14ac:dyDescent="0.35">
      <c r="A263">
        <v>3309</v>
      </c>
      <c r="B263" t="s">
        <v>144</v>
      </c>
      <c r="C263" t="s">
        <v>119</v>
      </c>
      <c r="D263" t="s">
        <v>207</v>
      </c>
      <c r="E263">
        <v>0</v>
      </c>
      <c r="F263">
        <v>0</v>
      </c>
      <c r="G263">
        <v>0</v>
      </c>
      <c r="H263" t="s">
        <v>297</v>
      </c>
      <c r="I263">
        <v>8</v>
      </c>
      <c r="J263">
        <v>0</v>
      </c>
      <c r="K263">
        <v>8</v>
      </c>
      <c r="L263">
        <v>0</v>
      </c>
      <c r="M263">
        <v>0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1</v>
      </c>
      <c r="W263">
        <v>0</v>
      </c>
      <c r="X263">
        <v>0</v>
      </c>
      <c r="Y263" t="s">
        <v>119</v>
      </c>
    </row>
    <row r="264" spans="1:25" x14ac:dyDescent="0.35">
      <c r="A264">
        <v>3379</v>
      </c>
      <c r="B264" t="s">
        <v>144</v>
      </c>
      <c r="C264" t="s">
        <v>119</v>
      </c>
      <c r="D264" t="s">
        <v>207</v>
      </c>
      <c r="E264">
        <v>1</v>
      </c>
      <c r="F264">
        <v>0</v>
      </c>
      <c r="G264">
        <v>1</v>
      </c>
      <c r="H264" t="s">
        <v>297</v>
      </c>
      <c r="I264">
        <v>6</v>
      </c>
      <c r="J264">
        <v>2</v>
      </c>
      <c r="K264">
        <v>6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2</v>
      </c>
      <c r="W264">
        <v>0</v>
      </c>
      <c r="X264">
        <v>0</v>
      </c>
      <c r="Y264" t="s">
        <v>119</v>
      </c>
    </row>
    <row r="265" spans="1:25" x14ac:dyDescent="0.35">
      <c r="A265">
        <v>3479</v>
      </c>
      <c r="B265" t="s">
        <v>144</v>
      </c>
      <c r="C265" t="s">
        <v>119</v>
      </c>
      <c r="D265" t="s">
        <v>207</v>
      </c>
      <c r="E265">
        <v>0</v>
      </c>
      <c r="F265">
        <v>0</v>
      </c>
      <c r="G265">
        <v>0</v>
      </c>
      <c r="H265" t="s">
        <v>297</v>
      </c>
      <c r="I265">
        <v>6</v>
      </c>
      <c r="J265">
        <v>0</v>
      </c>
      <c r="K265">
        <v>6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3</v>
      </c>
      <c r="T265">
        <v>0</v>
      </c>
      <c r="U265">
        <v>1</v>
      </c>
      <c r="V265">
        <v>0</v>
      </c>
      <c r="W265">
        <v>0</v>
      </c>
      <c r="X265">
        <v>0</v>
      </c>
      <c r="Y265" t="s">
        <v>119</v>
      </c>
    </row>
    <row r="266" spans="1:25" x14ac:dyDescent="0.35">
      <c r="A266">
        <v>3750</v>
      </c>
      <c r="B266" t="s">
        <v>144</v>
      </c>
      <c r="C266" t="s">
        <v>119</v>
      </c>
      <c r="D266" t="s">
        <v>207</v>
      </c>
      <c r="E266">
        <v>1</v>
      </c>
      <c r="F266">
        <v>0</v>
      </c>
      <c r="G266">
        <v>0</v>
      </c>
      <c r="H266" t="s">
        <v>297</v>
      </c>
      <c r="I266">
        <v>7</v>
      </c>
      <c r="J266">
        <v>0</v>
      </c>
      <c r="K266">
        <v>7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0</v>
      </c>
      <c r="V266">
        <v>2</v>
      </c>
      <c r="W266">
        <v>0</v>
      </c>
      <c r="X266">
        <v>0</v>
      </c>
      <c r="Y266" t="s">
        <v>119</v>
      </c>
    </row>
    <row r="267" spans="1:25" x14ac:dyDescent="0.35">
      <c r="A267">
        <v>3751</v>
      </c>
      <c r="B267" t="s">
        <v>144</v>
      </c>
      <c r="C267" t="s">
        <v>119</v>
      </c>
      <c r="D267" t="s">
        <v>207</v>
      </c>
      <c r="E267">
        <v>1</v>
      </c>
      <c r="F267">
        <v>0</v>
      </c>
      <c r="G267">
        <v>1</v>
      </c>
      <c r="H267" t="s">
        <v>297</v>
      </c>
      <c r="I267">
        <v>5</v>
      </c>
      <c r="J267">
        <v>1</v>
      </c>
      <c r="K267">
        <v>5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4</v>
      </c>
      <c r="W267">
        <v>0</v>
      </c>
      <c r="X267">
        <v>0</v>
      </c>
      <c r="Y267" t="s">
        <v>119</v>
      </c>
    </row>
    <row r="268" spans="1:25" x14ac:dyDescent="0.35">
      <c r="A268">
        <v>3752</v>
      </c>
      <c r="B268" t="s">
        <v>144</v>
      </c>
      <c r="C268" t="s">
        <v>119</v>
      </c>
      <c r="D268" t="s">
        <v>207</v>
      </c>
      <c r="E268">
        <v>1</v>
      </c>
      <c r="F268">
        <v>0</v>
      </c>
      <c r="G268">
        <v>0</v>
      </c>
      <c r="H268" t="s">
        <v>297</v>
      </c>
      <c r="I268">
        <v>8</v>
      </c>
      <c r="J268">
        <v>0</v>
      </c>
      <c r="K268">
        <v>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1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 t="s">
        <v>119</v>
      </c>
    </row>
    <row r="269" spans="1:25" x14ac:dyDescent="0.35">
      <c r="A269">
        <v>3753</v>
      </c>
      <c r="B269" t="s">
        <v>144</v>
      </c>
      <c r="C269" t="s">
        <v>119</v>
      </c>
      <c r="D269" t="s">
        <v>207</v>
      </c>
      <c r="E269">
        <v>0</v>
      </c>
      <c r="F269">
        <v>0</v>
      </c>
      <c r="G269">
        <v>1</v>
      </c>
      <c r="H269" t="s">
        <v>297</v>
      </c>
      <c r="I269">
        <v>6</v>
      </c>
      <c r="J269">
        <v>0</v>
      </c>
      <c r="K269">
        <v>6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2</v>
      </c>
      <c r="W269">
        <v>0</v>
      </c>
      <c r="X269">
        <v>2</v>
      </c>
      <c r="Y269" t="s">
        <v>119</v>
      </c>
    </row>
    <row r="270" spans="1:25" x14ac:dyDescent="0.35">
      <c r="A270">
        <v>3756</v>
      </c>
      <c r="B270" t="s">
        <v>144</v>
      </c>
      <c r="C270" t="s">
        <v>119</v>
      </c>
      <c r="D270" t="s">
        <v>207</v>
      </c>
      <c r="E270">
        <v>1</v>
      </c>
      <c r="F270">
        <v>0</v>
      </c>
      <c r="G270">
        <v>0</v>
      </c>
      <c r="H270" t="s">
        <v>297</v>
      </c>
      <c r="I270">
        <v>7</v>
      </c>
      <c r="J270">
        <v>0</v>
      </c>
      <c r="K270">
        <v>7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0</v>
      </c>
      <c r="V270">
        <v>2</v>
      </c>
      <c r="W270">
        <v>0</v>
      </c>
      <c r="X270">
        <v>0</v>
      </c>
      <c r="Y270" t="s">
        <v>119</v>
      </c>
    </row>
    <row r="271" spans="1:25" x14ac:dyDescent="0.35">
      <c r="A271">
        <v>3762</v>
      </c>
      <c r="B271" t="s">
        <v>144</v>
      </c>
      <c r="C271" t="s">
        <v>119</v>
      </c>
      <c r="D271" t="s">
        <v>207</v>
      </c>
      <c r="E271">
        <v>1</v>
      </c>
      <c r="F271">
        <v>0</v>
      </c>
      <c r="G271">
        <v>0</v>
      </c>
      <c r="H271" t="s">
        <v>297</v>
      </c>
      <c r="I271">
        <v>5</v>
      </c>
      <c r="J271">
        <v>2</v>
      </c>
      <c r="K271">
        <v>5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3</v>
      </c>
      <c r="W271">
        <v>0</v>
      </c>
      <c r="X271">
        <v>0</v>
      </c>
      <c r="Y271" t="s">
        <v>119</v>
      </c>
    </row>
    <row r="272" spans="1:25" x14ac:dyDescent="0.35">
      <c r="A272">
        <v>3763</v>
      </c>
      <c r="B272" t="s">
        <v>144</v>
      </c>
      <c r="C272" t="s">
        <v>119</v>
      </c>
      <c r="D272" t="s">
        <v>207</v>
      </c>
      <c r="E272">
        <v>1</v>
      </c>
      <c r="F272">
        <v>0</v>
      </c>
      <c r="G272">
        <v>0</v>
      </c>
      <c r="H272" t="s">
        <v>297</v>
      </c>
      <c r="I272">
        <v>5</v>
      </c>
      <c r="J272">
        <v>1</v>
      </c>
      <c r="K272">
        <v>5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4</v>
      </c>
      <c r="W272">
        <v>0</v>
      </c>
      <c r="X272">
        <v>0</v>
      </c>
      <c r="Y272" t="s">
        <v>119</v>
      </c>
    </row>
    <row r="273" spans="1:25" x14ac:dyDescent="0.35">
      <c r="A273">
        <v>3135</v>
      </c>
      <c r="B273" t="s">
        <v>126</v>
      </c>
      <c r="C273" t="s">
        <v>5</v>
      </c>
      <c r="D273" t="s">
        <v>230</v>
      </c>
      <c r="E273">
        <v>0</v>
      </c>
      <c r="F273">
        <v>0</v>
      </c>
      <c r="G273">
        <v>0</v>
      </c>
      <c r="H273" t="s">
        <v>297</v>
      </c>
      <c r="I273">
        <v>8</v>
      </c>
      <c r="J273">
        <v>0</v>
      </c>
      <c r="K273">
        <v>0</v>
      </c>
      <c r="L273">
        <v>0</v>
      </c>
      <c r="M273">
        <v>0</v>
      </c>
      <c r="N273">
        <v>8</v>
      </c>
      <c r="O273">
        <v>1</v>
      </c>
      <c r="P273">
        <v>0</v>
      </c>
      <c r="Q273">
        <v>0</v>
      </c>
      <c r="R273">
        <v>0</v>
      </c>
      <c r="S273">
        <v>1</v>
      </c>
      <c r="T273">
        <v>0</v>
      </c>
      <c r="U273">
        <v>0</v>
      </c>
      <c r="V273">
        <v>0</v>
      </c>
      <c r="W273">
        <v>0</v>
      </c>
      <c r="X273">
        <v>0</v>
      </c>
      <c r="Y273" t="s">
        <v>2</v>
      </c>
    </row>
    <row r="274" spans="1:25" x14ac:dyDescent="0.35">
      <c r="A274">
        <v>3145</v>
      </c>
      <c r="B274" t="s">
        <v>126</v>
      </c>
      <c r="C274" t="s">
        <v>5</v>
      </c>
      <c r="D274" t="s">
        <v>230</v>
      </c>
      <c r="E274">
        <v>0</v>
      </c>
      <c r="F274">
        <v>1</v>
      </c>
      <c r="G274">
        <v>0</v>
      </c>
      <c r="H274" t="s">
        <v>297</v>
      </c>
      <c r="I274">
        <v>7</v>
      </c>
      <c r="J274">
        <v>0</v>
      </c>
      <c r="K274">
        <v>0</v>
      </c>
      <c r="L274">
        <v>0</v>
      </c>
      <c r="M274">
        <v>0</v>
      </c>
      <c r="N274">
        <v>7</v>
      </c>
      <c r="O274">
        <v>2</v>
      </c>
      <c r="P274">
        <v>0</v>
      </c>
      <c r="Q274">
        <v>0</v>
      </c>
      <c r="R274">
        <v>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 t="s">
        <v>2</v>
      </c>
    </row>
    <row r="275" spans="1:25" x14ac:dyDescent="0.35">
      <c r="A275">
        <v>3194</v>
      </c>
      <c r="B275" t="s">
        <v>126</v>
      </c>
      <c r="C275" t="s">
        <v>5</v>
      </c>
      <c r="D275" t="s">
        <v>230</v>
      </c>
      <c r="E275">
        <v>0</v>
      </c>
      <c r="F275">
        <v>0</v>
      </c>
      <c r="G275">
        <v>0</v>
      </c>
      <c r="H275" t="s">
        <v>297</v>
      </c>
      <c r="I275">
        <v>8</v>
      </c>
      <c r="J275">
        <v>0</v>
      </c>
      <c r="K275">
        <v>0</v>
      </c>
      <c r="L275">
        <v>0</v>
      </c>
      <c r="M275">
        <v>1</v>
      </c>
      <c r="N275">
        <v>8</v>
      </c>
      <c r="O275">
        <v>1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 t="s">
        <v>2</v>
      </c>
    </row>
    <row r="276" spans="1:25" x14ac:dyDescent="0.35">
      <c r="A276">
        <v>3227</v>
      </c>
      <c r="B276" t="s">
        <v>126</v>
      </c>
      <c r="C276" t="s">
        <v>5</v>
      </c>
      <c r="D276" t="s">
        <v>230</v>
      </c>
      <c r="E276">
        <v>1</v>
      </c>
      <c r="F276">
        <v>0</v>
      </c>
      <c r="G276">
        <v>0</v>
      </c>
      <c r="H276" t="s">
        <v>297</v>
      </c>
      <c r="I276">
        <v>10</v>
      </c>
      <c r="J276">
        <v>0</v>
      </c>
      <c r="K276">
        <v>0</v>
      </c>
      <c r="L276">
        <v>0</v>
      </c>
      <c r="M276">
        <v>0</v>
      </c>
      <c r="N276">
        <v>10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 t="s">
        <v>2</v>
      </c>
    </row>
    <row r="277" spans="1:25" x14ac:dyDescent="0.35">
      <c r="A277">
        <v>3228</v>
      </c>
      <c r="B277" t="s">
        <v>126</v>
      </c>
      <c r="C277" t="s">
        <v>5</v>
      </c>
      <c r="D277" t="s">
        <v>230</v>
      </c>
      <c r="E277">
        <v>1</v>
      </c>
      <c r="F277">
        <v>0</v>
      </c>
      <c r="G277">
        <v>0</v>
      </c>
      <c r="H277" t="s">
        <v>297</v>
      </c>
      <c r="I277">
        <v>6</v>
      </c>
      <c r="J277">
        <v>0</v>
      </c>
      <c r="K277">
        <v>0</v>
      </c>
      <c r="L277">
        <v>0</v>
      </c>
      <c r="M277">
        <v>0</v>
      </c>
      <c r="N277">
        <v>6</v>
      </c>
      <c r="O277">
        <v>0</v>
      </c>
      <c r="P277">
        <v>0</v>
      </c>
      <c r="Q277">
        <v>2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2</v>
      </c>
      <c r="X277">
        <v>0</v>
      </c>
      <c r="Y277" t="s">
        <v>2</v>
      </c>
    </row>
    <row r="278" spans="1:25" x14ac:dyDescent="0.35">
      <c r="A278">
        <v>3231</v>
      </c>
      <c r="B278" t="s">
        <v>126</v>
      </c>
      <c r="C278" t="s">
        <v>5</v>
      </c>
      <c r="D278" t="s">
        <v>230</v>
      </c>
      <c r="E278">
        <v>1</v>
      </c>
      <c r="F278">
        <v>0</v>
      </c>
      <c r="G278">
        <v>0</v>
      </c>
      <c r="H278" t="s">
        <v>297</v>
      </c>
      <c r="I278">
        <v>10</v>
      </c>
      <c r="J278">
        <v>0</v>
      </c>
      <c r="K278">
        <v>0</v>
      </c>
      <c r="L278">
        <v>0</v>
      </c>
      <c r="M278">
        <v>0</v>
      </c>
      <c r="N278">
        <v>10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 t="s">
        <v>2</v>
      </c>
    </row>
    <row r="279" spans="1:25" x14ac:dyDescent="0.35">
      <c r="A279">
        <v>3233</v>
      </c>
      <c r="B279" t="s">
        <v>126</v>
      </c>
      <c r="C279" t="s">
        <v>5</v>
      </c>
      <c r="D279" t="s">
        <v>230</v>
      </c>
      <c r="E279">
        <v>0</v>
      </c>
      <c r="F279">
        <v>0</v>
      </c>
      <c r="G279">
        <v>0</v>
      </c>
      <c r="H279" t="s">
        <v>297</v>
      </c>
      <c r="I279">
        <v>10</v>
      </c>
      <c r="J279">
        <v>0</v>
      </c>
      <c r="K279">
        <v>0</v>
      </c>
      <c r="L279">
        <v>0</v>
      </c>
      <c r="M279">
        <v>0</v>
      </c>
      <c r="N279">
        <v>10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 t="s">
        <v>2</v>
      </c>
    </row>
    <row r="280" spans="1:25" x14ac:dyDescent="0.35">
      <c r="A280">
        <v>3242</v>
      </c>
      <c r="B280" t="s">
        <v>126</v>
      </c>
      <c r="C280" t="s">
        <v>5</v>
      </c>
      <c r="D280" t="s">
        <v>230</v>
      </c>
      <c r="E280">
        <v>1</v>
      </c>
      <c r="F280">
        <v>0</v>
      </c>
      <c r="G280">
        <v>0</v>
      </c>
      <c r="H280" t="s">
        <v>297</v>
      </c>
      <c r="I280">
        <v>6</v>
      </c>
      <c r="J280">
        <v>0</v>
      </c>
      <c r="K280">
        <v>0</v>
      </c>
      <c r="L280">
        <v>0</v>
      </c>
      <c r="M280">
        <v>0</v>
      </c>
      <c r="N280">
        <v>6</v>
      </c>
      <c r="O280">
        <v>3</v>
      </c>
      <c r="P280">
        <v>0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0</v>
      </c>
      <c r="W280">
        <v>0</v>
      </c>
      <c r="X280">
        <v>0</v>
      </c>
      <c r="Y280" t="s">
        <v>2</v>
      </c>
    </row>
    <row r="281" spans="1:25" x14ac:dyDescent="0.35">
      <c r="A281">
        <v>3245</v>
      </c>
      <c r="B281" t="s">
        <v>126</v>
      </c>
      <c r="C281" t="s">
        <v>5</v>
      </c>
      <c r="D281" t="s">
        <v>230</v>
      </c>
      <c r="E281">
        <v>0</v>
      </c>
      <c r="F281">
        <v>0</v>
      </c>
      <c r="G281">
        <v>0</v>
      </c>
      <c r="H281" t="s">
        <v>297</v>
      </c>
      <c r="I281">
        <v>7</v>
      </c>
      <c r="J281">
        <v>0</v>
      </c>
      <c r="K281">
        <v>0</v>
      </c>
      <c r="L281">
        <v>0</v>
      </c>
      <c r="M281">
        <v>0</v>
      </c>
      <c r="N281">
        <v>7</v>
      </c>
      <c r="O281">
        <v>2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 t="s">
        <v>2</v>
      </c>
    </row>
    <row r="282" spans="1:25" x14ac:dyDescent="0.35">
      <c r="A282">
        <v>3248</v>
      </c>
      <c r="B282" t="s">
        <v>126</v>
      </c>
      <c r="C282" t="s">
        <v>5</v>
      </c>
      <c r="D282" t="s">
        <v>230</v>
      </c>
      <c r="E282">
        <v>0</v>
      </c>
      <c r="F282">
        <v>0</v>
      </c>
      <c r="G282">
        <v>0</v>
      </c>
      <c r="H282" t="s">
        <v>297</v>
      </c>
      <c r="I282">
        <v>5</v>
      </c>
      <c r="J282">
        <v>0</v>
      </c>
      <c r="K282">
        <v>0</v>
      </c>
      <c r="L282">
        <v>0</v>
      </c>
      <c r="M282">
        <v>0</v>
      </c>
      <c r="N282">
        <v>5</v>
      </c>
      <c r="O282">
        <v>4</v>
      </c>
      <c r="P282">
        <v>0</v>
      </c>
      <c r="Q282">
        <v>0</v>
      </c>
      <c r="R282">
        <v>0</v>
      </c>
      <c r="S282">
        <v>1</v>
      </c>
      <c r="T282">
        <v>0</v>
      </c>
      <c r="U282">
        <v>0</v>
      </c>
      <c r="V282">
        <v>0</v>
      </c>
      <c r="W282">
        <v>0</v>
      </c>
      <c r="X282">
        <v>0</v>
      </c>
      <c r="Y282" t="s">
        <v>2</v>
      </c>
    </row>
    <row r="283" spans="1:25" x14ac:dyDescent="0.35">
      <c r="A283">
        <v>3250</v>
      </c>
      <c r="B283" t="s">
        <v>126</v>
      </c>
      <c r="C283" t="s">
        <v>5</v>
      </c>
      <c r="D283" t="s">
        <v>230</v>
      </c>
      <c r="E283">
        <v>0</v>
      </c>
      <c r="F283">
        <v>0</v>
      </c>
      <c r="G283">
        <v>0</v>
      </c>
      <c r="H283" t="s">
        <v>297</v>
      </c>
      <c r="I283">
        <v>7</v>
      </c>
      <c r="J283">
        <v>0</v>
      </c>
      <c r="K283">
        <v>0</v>
      </c>
      <c r="L283">
        <v>0</v>
      </c>
      <c r="M283">
        <v>0</v>
      </c>
      <c r="N283">
        <v>7</v>
      </c>
      <c r="O283">
        <v>2</v>
      </c>
      <c r="P283">
        <v>0</v>
      </c>
      <c r="Q283">
        <v>0</v>
      </c>
      <c r="R283">
        <v>1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 t="s">
        <v>2</v>
      </c>
    </row>
    <row r="284" spans="1:25" x14ac:dyDescent="0.35">
      <c r="A284">
        <v>3594</v>
      </c>
      <c r="B284" t="s">
        <v>126</v>
      </c>
      <c r="C284" t="s">
        <v>5</v>
      </c>
      <c r="D284" t="s">
        <v>230</v>
      </c>
      <c r="E284">
        <v>1</v>
      </c>
      <c r="F284">
        <v>0</v>
      </c>
      <c r="G284">
        <v>0</v>
      </c>
      <c r="H284" t="s">
        <v>297</v>
      </c>
      <c r="I284">
        <v>7</v>
      </c>
      <c r="J284">
        <v>0</v>
      </c>
      <c r="K284">
        <v>0</v>
      </c>
      <c r="L284">
        <v>0</v>
      </c>
      <c r="M284">
        <v>1</v>
      </c>
      <c r="N284">
        <v>7</v>
      </c>
      <c r="O284">
        <v>2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 t="s">
        <v>2</v>
      </c>
    </row>
    <row r="285" spans="1:25" x14ac:dyDescent="0.35">
      <c r="A285">
        <v>3604</v>
      </c>
      <c r="B285" t="s">
        <v>126</v>
      </c>
      <c r="C285" t="s">
        <v>5</v>
      </c>
      <c r="D285" t="s">
        <v>230</v>
      </c>
      <c r="E285">
        <v>0</v>
      </c>
      <c r="F285">
        <v>0</v>
      </c>
      <c r="G285">
        <v>0</v>
      </c>
      <c r="H285" t="s">
        <v>297</v>
      </c>
      <c r="I285">
        <v>8</v>
      </c>
      <c r="J285">
        <v>0</v>
      </c>
      <c r="K285">
        <v>0</v>
      </c>
      <c r="L285">
        <v>0</v>
      </c>
      <c r="M285">
        <v>0</v>
      </c>
      <c r="N285">
        <v>8</v>
      </c>
      <c r="O285">
        <v>1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1</v>
      </c>
      <c r="Y285" t="s">
        <v>2</v>
      </c>
    </row>
    <row r="286" spans="1:25" x14ac:dyDescent="0.35">
      <c r="A286">
        <v>3605</v>
      </c>
      <c r="B286" t="s">
        <v>126</v>
      </c>
      <c r="C286" t="s">
        <v>5</v>
      </c>
      <c r="D286" t="s">
        <v>230</v>
      </c>
      <c r="E286">
        <v>1</v>
      </c>
      <c r="F286">
        <v>0</v>
      </c>
      <c r="G286">
        <v>0</v>
      </c>
      <c r="H286" t="s">
        <v>297</v>
      </c>
      <c r="I286">
        <v>8</v>
      </c>
      <c r="J286">
        <v>0</v>
      </c>
      <c r="K286">
        <v>0</v>
      </c>
      <c r="L286">
        <v>0</v>
      </c>
      <c r="M286">
        <v>0</v>
      </c>
      <c r="N286">
        <v>8</v>
      </c>
      <c r="O286">
        <v>1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</v>
      </c>
      <c r="Y286" t="s">
        <v>2</v>
      </c>
    </row>
    <row r="287" spans="1:25" x14ac:dyDescent="0.35">
      <c r="A287">
        <v>3608</v>
      </c>
      <c r="B287" t="s">
        <v>126</v>
      </c>
      <c r="C287" t="s">
        <v>5</v>
      </c>
      <c r="D287" t="s">
        <v>230</v>
      </c>
      <c r="E287">
        <v>0</v>
      </c>
      <c r="F287">
        <v>0</v>
      </c>
      <c r="G287">
        <v>0</v>
      </c>
      <c r="H287" t="s">
        <v>297</v>
      </c>
      <c r="I287">
        <v>6</v>
      </c>
      <c r="J287">
        <v>0</v>
      </c>
      <c r="K287">
        <v>0</v>
      </c>
      <c r="L287">
        <v>0</v>
      </c>
      <c r="M287">
        <v>0</v>
      </c>
      <c r="N287">
        <v>6</v>
      </c>
      <c r="O287">
        <v>2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2</v>
      </c>
      <c r="Y287" t="s">
        <v>2</v>
      </c>
    </row>
    <row r="288" spans="1:25" x14ac:dyDescent="0.35">
      <c r="A288">
        <v>3609</v>
      </c>
      <c r="B288" t="s">
        <v>126</v>
      </c>
      <c r="C288" t="s">
        <v>5</v>
      </c>
      <c r="D288" t="s">
        <v>230</v>
      </c>
      <c r="E288">
        <v>0</v>
      </c>
      <c r="F288">
        <v>0</v>
      </c>
      <c r="G288">
        <v>0</v>
      </c>
      <c r="H288" t="s">
        <v>297</v>
      </c>
      <c r="I288">
        <v>8</v>
      </c>
      <c r="J288">
        <v>0</v>
      </c>
      <c r="K288">
        <v>0</v>
      </c>
      <c r="L288">
        <v>0</v>
      </c>
      <c r="M288">
        <v>0</v>
      </c>
      <c r="N288">
        <v>8</v>
      </c>
      <c r="O288">
        <v>1</v>
      </c>
      <c r="P288">
        <v>0</v>
      </c>
      <c r="Q288">
        <v>0</v>
      </c>
      <c r="R288">
        <v>1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 t="s">
        <v>2</v>
      </c>
    </row>
    <row r="289" spans="1:25" x14ac:dyDescent="0.35">
      <c r="A289">
        <v>3621</v>
      </c>
      <c r="B289" t="s">
        <v>126</v>
      </c>
      <c r="C289" t="s">
        <v>5</v>
      </c>
      <c r="D289" t="s">
        <v>230</v>
      </c>
      <c r="E289">
        <v>0</v>
      </c>
      <c r="F289">
        <v>0</v>
      </c>
      <c r="G289">
        <v>0</v>
      </c>
      <c r="H289" t="s">
        <v>297</v>
      </c>
      <c r="I289">
        <v>7</v>
      </c>
      <c r="J289">
        <v>0</v>
      </c>
      <c r="K289">
        <v>0</v>
      </c>
      <c r="L289">
        <v>0</v>
      </c>
      <c r="M289">
        <v>0</v>
      </c>
      <c r="N289">
        <v>7</v>
      </c>
      <c r="O289">
        <v>2</v>
      </c>
      <c r="P289">
        <v>0</v>
      </c>
      <c r="Q289">
        <v>0</v>
      </c>
      <c r="R289">
        <v>1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 t="s">
        <v>2</v>
      </c>
    </row>
    <row r="290" spans="1:25" x14ac:dyDescent="0.35">
      <c r="A290">
        <v>3649</v>
      </c>
      <c r="B290" t="s">
        <v>126</v>
      </c>
      <c r="C290" t="s">
        <v>5</v>
      </c>
      <c r="D290" t="s">
        <v>230</v>
      </c>
      <c r="E290">
        <v>1</v>
      </c>
      <c r="F290">
        <v>0</v>
      </c>
      <c r="G290">
        <v>0</v>
      </c>
      <c r="H290" t="s">
        <v>297</v>
      </c>
      <c r="I290">
        <v>6</v>
      </c>
      <c r="J290">
        <v>0</v>
      </c>
      <c r="K290">
        <v>0</v>
      </c>
      <c r="L290">
        <v>0</v>
      </c>
      <c r="M290">
        <v>0</v>
      </c>
      <c r="N290">
        <v>6</v>
      </c>
      <c r="O290">
        <v>2</v>
      </c>
      <c r="P290">
        <v>0</v>
      </c>
      <c r="Q290">
        <v>0</v>
      </c>
      <c r="R290">
        <v>0</v>
      </c>
      <c r="S290">
        <v>2</v>
      </c>
      <c r="T290">
        <v>0</v>
      </c>
      <c r="U290">
        <v>0</v>
      </c>
      <c r="V290">
        <v>0</v>
      </c>
      <c r="W290">
        <v>0</v>
      </c>
      <c r="X290">
        <v>0</v>
      </c>
      <c r="Y290" t="s">
        <v>2</v>
      </c>
    </row>
    <row r="291" spans="1:25" x14ac:dyDescent="0.35">
      <c r="A291">
        <v>3674</v>
      </c>
      <c r="B291" t="s">
        <v>126</v>
      </c>
      <c r="C291" t="s">
        <v>5</v>
      </c>
      <c r="D291" t="s">
        <v>230</v>
      </c>
      <c r="E291">
        <v>0</v>
      </c>
      <c r="F291">
        <v>0</v>
      </c>
      <c r="G291">
        <v>0</v>
      </c>
      <c r="H291" t="s">
        <v>297</v>
      </c>
      <c r="I291">
        <v>6</v>
      </c>
      <c r="J291">
        <v>0</v>
      </c>
      <c r="K291">
        <v>0</v>
      </c>
      <c r="L291">
        <v>0</v>
      </c>
      <c r="M291">
        <v>0</v>
      </c>
      <c r="N291">
        <v>6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3</v>
      </c>
      <c r="U291">
        <v>1</v>
      </c>
      <c r="V291">
        <v>0</v>
      </c>
      <c r="W291">
        <v>0</v>
      </c>
      <c r="X291">
        <v>0</v>
      </c>
      <c r="Y291" t="s">
        <v>2</v>
      </c>
    </row>
    <row r="292" spans="1:25" x14ac:dyDescent="0.35">
      <c r="A292">
        <v>3698</v>
      </c>
      <c r="B292" t="s">
        <v>126</v>
      </c>
      <c r="C292" t="s">
        <v>5</v>
      </c>
      <c r="D292" t="s">
        <v>230</v>
      </c>
      <c r="E292">
        <v>1</v>
      </c>
      <c r="F292">
        <v>0</v>
      </c>
      <c r="G292">
        <v>0</v>
      </c>
      <c r="H292" t="s">
        <v>297</v>
      </c>
      <c r="I292">
        <v>5</v>
      </c>
      <c r="J292">
        <v>0</v>
      </c>
      <c r="K292">
        <v>0</v>
      </c>
      <c r="L292">
        <v>0</v>
      </c>
      <c r="M292">
        <v>0</v>
      </c>
      <c r="N292">
        <v>5</v>
      </c>
      <c r="O292">
        <v>0</v>
      </c>
      <c r="P292">
        <v>0</v>
      </c>
      <c r="Q292">
        <v>0</v>
      </c>
      <c r="R292">
        <v>2</v>
      </c>
      <c r="S292">
        <v>0</v>
      </c>
      <c r="T292">
        <v>0</v>
      </c>
      <c r="U292">
        <v>3</v>
      </c>
      <c r="V292">
        <v>0</v>
      </c>
      <c r="W292">
        <v>0</v>
      </c>
      <c r="X292">
        <v>0</v>
      </c>
      <c r="Y292" t="s">
        <v>2</v>
      </c>
    </row>
    <row r="293" spans="1:25" x14ac:dyDescent="0.35">
      <c r="A293">
        <v>3846</v>
      </c>
      <c r="B293" t="s">
        <v>126</v>
      </c>
      <c r="C293" t="s">
        <v>5</v>
      </c>
      <c r="D293" t="s">
        <v>230</v>
      </c>
      <c r="E293">
        <v>0</v>
      </c>
      <c r="F293">
        <v>1</v>
      </c>
      <c r="G293">
        <v>0</v>
      </c>
      <c r="H293" t="s">
        <v>297</v>
      </c>
      <c r="I293">
        <v>6</v>
      </c>
      <c r="J293">
        <v>0</v>
      </c>
      <c r="K293">
        <v>0</v>
      </c>
      <c r="L293">
        <v>0</v>
      </c>
      <c r="M293">
        <v>0</v>
      </c>
      <c r="N293">
        <v>6</v>
      </c>
      <c r="O293">
        <v>2</v>
      </c>
      <c r="P293">
        <v>0</v>
      </c>
      <c r="Q293">
        <v>0</v>
      </c>
      <c r="R293">
        <v>0</v>
      </c>
      <c r="S293">
        <v>2</v>
      </c>
      <c r="T293">
        <v>0</v>
      </c>
      <c r="U293">
        <v>0</v>
      </c>
      <c r="V293">
        <v>0</v>
      </c>
      <c r="W293">
        <v>0</v>
      </c>
      <c r="X293">
        <v>0</v>
      </c>
      <c r="Y293" t="s">
        <v>2</v>
      </c>
    </row>
    <row r="294" spans="1:25" x14ac:dyDescent="0.35">
      <c r="A294">
        <v>3179</v>
      </c>
      <c r="B294" t="s">
        <v>128</v>
      </c>
      <c r="C294" t="s">
        <v>119</v>
      </c>
      <c r="D294" t="s">
        <v>238</v>
      </c>
      <c r="E294">
        <v>1</v>
      </c>
      <c r="F294">
        <v>0</v>
      </c>
      <c r="G294">
        <v>0</v>
      </c>
      <c r="H294" t="s">
        <v>297</v>
      </c>
      <c r="I294">
        <v>7</v>
      </c>
      <c r="J294">
        <v>0</v>
      </c>
      <c r="K294">
        <v>7</v>
      </c>
      <c r="L294">
        <v>0</v>
      </c>
      <c r="M294">
        <v>0</v>
      </c>
      <c r="N294">
        <v>2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1</v>
      </c>
      <c r="V294">
        <v>0</v>
      </c>
      <c r="W294">
        <v>0</v>
      </c>
      <c r="X294">
        <v>0</v>
      </c>
      <c r="Y294" t="s">
        <v>2</v>
      </c>
    </row>
    <row r="295" spans="1:25" x14ac:dyDescent="0.35">
      <c r="A295">
        <v>3266</v>
      </c>
      <c r="B295" t="s">
        <v>128</v>
      </c>
      <c r="C295" t="s">
        <v>8</v>
      </c>
      <c r="D295" t="s">
        <v>238</v>
      </c>
      <c r="E295">
        <v>0</v>
      </c>
      <c r="F295">
        <v>1</v>
      </c>
      <c r="G295">
        <v>0</v>
      </c>
      <c r="H295" t="s">
        <v>297</v>
      </c>
      <c r="I295">
        <v>7</v>
      </c>
      <c r="J295">
        <v>0</v>
      </c>
      <c r="K295">
        <v>0</v>
      </c>
      <c r="L295">
        <v>0</v>
      </c>
      <c r="M295">
        <v>7</v>
      </c>
      <c r="N295">
        <v>0</v>
      </c>
      <c r="O295">
        <v>2</v>
      </c>
      <c r="P295">
        <v>0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0</v>
      </c>
      <c r="X295">
        <v>0</v>
      </c>
      <c r="Y295" t="s">
        <v>2</v>
      </c>
    </row>
    <row r="296" spans="1:25" x14ac:dyDescent="0.35">
      <c r="A296">
        <v>3311</v>
      </c>
      <c r="B296" t="s">
        <v>128</v>
      </c>
      <c r="C296" t="s">
        <v>119</v>
      </c>
      <c r="D296" t="s">
        <v>238</v>
      </c>
      <c r="E296">
        <v>1</v>
      </c>
      <c r="F296">
        <v>0</v>
      </c>
      <c r="G296">
        <v>0</v>
      </c>
      <c r="H296" t="s">
        <v>297</v>
      </c>
      <c r="I296">
        <v>6</v>
      </c>
      <c r="J296">
        <v>0</v>
      </c>
      <c r="K296">
        <v>6</v>
      </c>
      <c r="L296">
        <v>0</v>
      </c>
      <c r="M296">
        <v>2</v>
      </c>
      <c r="N296">
        <v>2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 t="s">
        <v>2</v>
      </c>
    </row>
    <row r="297" spans="1:25" x14ac:dyDescent="0.35">
      <c r="A297">
        <v>3316</v>
      </c>
      <c r="B297" t="s">
        <v>128</v>
      </c>
      <c r="C297" t="s">
        <v>119</v>
      </c>
      <c r="D297" t="s">
        <v>238</v>
      </c>
      <c r="E297">
        <v>1</v>
      </c>
      <c r="F297">
        <v>0</v>
      </c>
      <c r="G297">
        <v>0</v>
      </c>
      <c r="H297" t="s">
        <v>297</v>
      </c>
      <c r="I297">
        <v>8</v>
      </c>
      <c r="J297">
        <v>0</v>
      </c>
      <c r="K297">
        <v>8</v>
      </c>
      <c r="L297">
        <v>0</v>
      </c>
      <c r="M297">
        <v>1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 t="s">
        <v>2</v>
      </c>
    </row>
    <row r="298" spans="1:25" x14ac:dyDescent="0.35">
      <c r="A298">
        <v>3391</v>
      </c>
      <c r="B298" t="s">
        <v>128</v>
      </c>
      <c r="C298" t="s">
        <v>8</v>
      </c>
      <c r="D298" t="s">
        <v>238</v>
      </c>
      <c r="E298">
        <v>0</v>
      </c>
      <c r="F298">
        <v>0</v>
      </c>
      <c r="G298">
        <v>0</v>
      </c>
      <c r="H298" t="s">
        <v>297</v>
      </c>
      <c r="I298">
        <v>6</v>
      </c>
      <c r="J298">
        <v>0</v>
      </c>
      <c r="K298">
        <v>0</v>
      </c>
      <c r="L298">
        <v>0</v>
      </c>
      <c r="M298">
        <v>6</v>
      </c>
      <c r="N298">
        <v>0</v>
      </c>
      <c r="O298">
        <v>0</v>
      </c>
      <c r="P298">
        <v>1</v>
      </c>
      <c r="Q298">
        <v>0</v>
      </c>
      <c r="R298">
        <v>0</v>
      </c>
      <c r="S298">
        <v>0</v>
      </c>
      <c r="T298">
        <v>3</v>
      </c>
      <c r="U298">
        <v>0</v>
      </c>
      <c r="V298">
        <v>0</v>
      </c>
      <c r="W298">
        <v>0</v>
      </c>
      <c r="X298">
        <v>0</v>
      </c>
      <c r="Y298" t="s">
        <v>2</v>
      </c>
    </row>
    <row r="299" spans="1:25" x14ac:dyDescent="0.35">
      <c r="A299">
        <v>3395</v>
      </c>
      <c r="B299" t="s">
        <v>128</v>
      </c>
      <c r="C299" t="s">
        <v>8</v>
      </c>
      <c r="D299" t="s">
        <v>238</v>
      </c>
      <c r="E299">
        <v>0</v>
      </c>
      <c r="F299">
        <v>0</v>
      </c>
      <c r="G299">
        <v>0</v>
      </c>
      <c r="H299" t="s">
        <v>297</v>
      </c>
      <c r="I299">
        <v>5</v>
      </c>
      <c r="J299">
        <v>0</v>
      </c>
      <c r="K299">
        <v>0</v>
      </c>
      <c r="L299">
        <v>0</v>
      </c>
      <c r="M299">
        <v>5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2</v>
      </c>
      <c r="T299">
        <v>3</v>
      </c>
      <c r="U299">
        <v>0</v>
      </c>
      <c r="V299">
        <v>0</v>
      </c>
      <c r="W299">
        <v>0</v>
      </c>
      <c r="X299">
        <v>0</v>
      </c>
      <c r="Y299" t="s">
        <v>2</v>
      </c>
    </row>
    <row r="300" spans="1:25" x14ac:dyDescent="0.35">
      <c r="A300">
        <v>3399</v>
      </c>
      <c r="B300" t="s">
        <v>128</v>
      </c>
      <c r="C300" t="s">
        <v>8</v>
      </c>
      <c r="D300" t="s">
        <v>238</v>
      </c>
      <c r="E300">
        <v>0</v>
      </c>
      <c r="F300">
        <v>0</v>
      </c>
      <c r="G300">
        <v>0</v>
      </c>
      <c r="H300" t="s">
        <v>297</v>
      </c>
      <c r="I300">
        <v>5</v>
      </c>
      <c r="J300">
        <v>0</v>
      </c>
      <c r="K300">
        <v>0</v>
      </c>
      <c r="L300">
        <v>0</v>
      </c>
      <c r="M300">
        <v>5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4</v>
      </c>
      <c r="U300">
        <v>1</v>
      </c>
      <c r="V300">
        <v>0</v>
      </c>
      <c r="W300">
        <v>0</v>
      </c>
      <c r="X300">
        <v>0</v>
      </c>
      <c r="Y300" t="s">
        <v>2</v>
      </c>
    </row>
    <row r="301" spans="1:25" x14ac:dyDescent="0.35">
      <c r="A301">
        <v>3401</v>
      </c>
      <c r="B301" t="s">
        <v>128</v>
      </c>
      <c r="C301" t="s">
        <v>8</v>
      </c>
      <c r="D301" t="s">
        <v>238</v>
      </c>
      <c r="E301">
        <v>1</v>
      </c>
      <c r="F301">
        <v>0</v>
      </c>
      <c r="G301">
        <v>0</v>
      </c>
      <c r="H301" t="s">
        <v>297</v>
      </c>
      <c r="I301">
        <v>8</v>
      </c>
      <c r="J301">
        <v>0</v>
      </c>
      <c r="K301">
        <v>0</v>
      </c>
      <c r="L301">
        <v>0</v>
      </c>
      <c r="M301">
        <v>8</v>
      </c>
      <c r="N301">
        <v>0</v>
      </c>
      <c r="O301">
        <v>1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 t="s">
        <v>2</v>
      </c>
    </row>
    <row r="302" spans="1:25" x14ac:dyDescent="0.35">
      <c r="A302">
        <v>3468</v>
      </c>
      <c r="B302" t="s">
        <v>128</v>
      </c>
      <c r="C302" t="s">
        <v>119</v>
      </c>
      <c r="D302" t="s">
        <v>238</v>
      </c>
      <c r="E302">
        <v>1</v>
      </c>
      <c r="F302">
        <v>0</v>
      </c>
      <c r="G302">
        <v>0</v>
      </c>
      <c r="H302" t="s">
        <v>297</v>
      </c>
      <c r="I302">
        <v>8</v>
      </c>
      <c r="J302">
        <v>1</v>
      </c>
      <c r="K302">
        <v>8</v>
      </c>
      <c r="L302">
        <v>0</v>
      </c>
      <c r="M302">
        <v>0</v>
      </c>
      <c r="N302">
        <v>0</v>
      </c>
      <c r="O302">
        <v>1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 t="s">
        <v>2</v>
      </c>
    </row>
    <row r="303" spans="1:25" x14ac:dyDescent="0.35">
      <c r="A303">
        <v>3489</v>
      </c>
      <c r="B303" t="s">
        <v>128</v>
      </c>
      <c r="C303" t="s">
        <v>119</v>
      </c>
      <c r="D303" t="s">
        <v>238</v>
      </c>
      <c r="E303">
        <v>1</v>
      </c>
      <c r="F303">
        <v>0</v>
      </c>
      <c r="G303">
        <v>1</v>
      </c>
      <c r="H303" t="s">
        <v>297</v>
      </c>
      <c r="I303">
        <v>8</v>
      </c>
      <c r="J303">
        <v>1</v>
      </c>
      <c r="K303">
        <v>8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 t="s">
        <v>2</v>
      </c>
    </row>
    <row r="304" spans="1:25" x14ac:dyDescent="0.35">
      <c r="A304">
        <v>3564</v>
      </c>
      <c r="B304" t="s">
        <v>128</v>
      </c>
      <c r="C304" t="s">
        <v>8</v>
      </c>
      <c r="D304" t="s">
        <v>238</v>
      </c>
      <c r="E304">
        <v>1</v>
      </c>
      <c r="F304">
        <v>0</v>
      </c>
      <c r="G304">
        <v>0</v>
      </c>
      <c r="H304" t="s">
        <v>297</v>
      </c>
      <c r="I304">
        <v>7</v>
      </c>
      <c r="J304">
        <v>0</v>
      </c>
      <c r="K304">
        <v>2</v>
      </c>
      <c r="L304">
        <v>0</v>
      </c>
      <c r="M304">
        <v>7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 t="s">
        <v>2</v>
      </c>
    </row>
    <row r="305" spans="1:25" x14ac:dyDescent="0.35">
      <c r="A305">
        <v>3631</v>
      </c>
      <c r="B305" t="s">
        <v>128</v>
      </c>
      <c r="C305" t="s">
        <v>3</v>
      </c>
      <c r="D305" t="s">
        <v>238</v>
      </c>
      <c r="E305">
        <v>0</v>
      </c>
      <c r="F305">
        <v>0</v>
      </c>
      <c r="G305">
        <v>1</v>
      </c>
      <c r="H305" t="s">
        <v>297</v>
      </c>
      <c r="I305">
        <v>5</v>
      </c>
      <c r="J305">
        <v>0</v>
      </c>
      <c r="K305">
        <v>4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5</v>
      </c>
      <c r="T305">
        <v>0</v>
      </c>
      <c r="U305">
        <v>1</v>
      </c>
      <c r="V305">
        <v>0</v>
      </c>
      <c r="W305">
        <v>0</v>
      </c>
      <c r="X305">
        <v>0</v>
      </c>
      <c r="Y305" t="s">
        <v>2</v>
      </c>
    </row>
    <row r="306" spans="1:25" x14ac:dyDescent="0.35">
      <c r="A306">
        <v>3758</v>
      </c>
      <c r="B306" t="s">
        <v>128</v>
      </c>
      <c r="C306" t="s">
        <v>119</v>
      </c>
      <c r="D306" t="s">
        <v>238</v>
      </c>
      <c r="E306">
        <v>1</v>
      </c>
      <c r="F306">
        <v>0</v>
      </c>
      <c r="G306">
        <v>0</v>
      </c>
      <c r="H306" t="s">
        <v>297</v>
      </c>
      <c r="I306">
        <v>5</v>
      </c>
      <c r="J306">
        <v>1</v>
      </c>
      <c r="K306">
        <v>5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4</v>
      </c>
      <c r="W306">
        <v>0</v>
      </c>
      <c r="X306">
        <v>0</v>
      </c>
      <c r="Y306" t="s">
        <v>2</v>
      </c>
    </row>
    <row r="307" spans="1:25" x14ac:dyDescent="0.35">
      <c r="A307">
        <v>3761</v>
      </c>
      <c r="B307" t="s">
        <v>128</v>
      </c>
      <c r="C307" t="s">
        <v>119</v>
      </c>
      <c r="D307" t="s">
        <v>238</v>
      </c>
      <c r="E307">
        <v>0</v>
      </c>
      <c r="F307">
        <v>1</v>
      </c>
      <c r="G307">
        <v>0</v>
      </c>
      <c r="H307" t="s">
        <v>297</v>
      </c>
      <c r="I307">
        <v>6</v>
      </c>
      <c r="J307">
        <v>0</v>
      </c>
      <c r="K307">
        <v>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3</v>
      </c>
      <c r="W307">
        <v>0</v>
      </c>
      <c r="X307">
        <v>0</v>
      </c>
      <c r="Y307" t="s">
        <v>2</v>
      </c>
    </row>
    <row r="308" spans="1:25" x14ac:dyDescent="0.35">
      <c r="A308">
        <v>3133</v>
      </c>
      <c r="B308" t="s">
        <v>188</v>
      </c>
      <c r="C308" t="s">
        <v>5</v>
      </c>
      <c r="D308" t="s">
        <v>206</v>
      </c>
      <c r="E308">
        <v>0</v>
      </c>
      <c r="F308">
        <v>0</v>
      </c>
      <c r="G308">
        <v>0</v>
      </c>
      <c r="H308" t="s">
        <v>297</v>
      </c>
      <c r="I308">
        <v>8</v>
      </c>
      <c r="J308">
        <v>0</v>
      </c>
      <c r="K308">
        <v>0</v>
      </c>
      <c r="L308">
        <v>0</v>
      </c>
      <c r="M308">
        <v>0</v>
      </c>
      <c r="N308">
        <v>8</v>
      </c>
      <c r="O308">
        <v>1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1</v>
      </c>
      <c r="V308">
        <v>0</v>
      </c>
      <c r="W308">
        <v>0</v>
      </c>
      <c r="X308">
        <v>0</v>
      </c>
      <c r="Y308" t="s">
        <v>7</v>
      </c>
    </row>
    <row r="309" spans="1:25" x14ac:dyDescent="0.35">
      <c r="A309">
        <v>3183</v>
      </c>
      <c r="B309" t="s">
        <v>188</v>
      </c>
      <c r="C309" t="s">
        <v>5</v>
      </c>
      <c r="D309" t="s">
        <v>206</v>
      </c>
      <c r="E309">
        <v>1</v>
      </c>
      <c r="F309">
        <v>0</v>
      </c>
      <c r="G309">
        <v>0</v>
      </c>
      <c r="H309" t="s">
        <v>297</v>
      </c>
      <c r="I309">
        <v>7</v>
      </c>
      <c r="J309">
        <v>0</v>
      </c>
      <c r="K309">
        <v>0</v>
      </c>
      <c r="L309">
        <v>0</v>
      </c>
      <c r="M309">
        <v>0</v>
      </c>
      <c r="N309">
        <v>7</v>
      </c>
      <c r="O309">
        <v>0</v>
      </c>
      <c r="P309">
        <v>0</v>
      </c>
      <c r="Q309">
        <v>0</v>
      </c>
      <c r="R309">
        <v>2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 t="s">
        <v>7</v>
      </c>
    </row>
    <row r="310" spans="1:25" x14ac:dyDescent="0.35">
      <c r="A310">
        <v>3188</v>
      </c>
      <c r="B310" t="s">
        <v>188</v>
      </c>
      <c r="C310" t="s">
        <v>5</v>
      </c>
      <c r="D310" t="s">
        <v>206</v>
      </c>
      <c r="E310">
        <v>1</v>
      </c>
      <c r="F310">
        <v>0</v>
      </c>
      <c r="G310">
        <v>0</v>
      </c>
      <c r="H310" t="s">
        <v>297</v>
      </c>
      <c r="I310">
        <v>8</v>
      </c>
      <c r="J310">
        <v>0</v>
      </c>
      <c r="K310">
        <v>0</v>
      </c>
      <c r="L310">
        <v>0</v>
      </c>
      <c r="M310">
        <v>1</v>
      </c>
      <c r="N310">
        <v>8</v>
      </c>
      <c r="O310">
        <v>1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 t="s">
        <v>7</v>
      </c>
    </row>
    <row r="311" spans="1:25" x14ac:dyDescent="0.35">
      <c r="A311">
        <v>3218</v>
      </c>
      <c r="B311" t="s">
        <v>188</v>
      </c>
      <c r="C311" t="s">
        <v>5</v>
      </c>
      <c r="D311" t="s">
        <v>206</v>
      </c>
      <c r="E311">
        <v>1</v>
      </c>
      <c r="F311">
        <v>0</v>
      </c>
      <c r="G311">
        <v>0</v>
      </c>
      <c r="H311" t="s">
        <v>297</v>
      </c>
      <c r="I311">
        <v>10</v>
      </c>
      <c r="J311">
        <v>0</v>
      </c>
      <c r="K311">
        <v>0</v>
      </c>
      <c r="L311">
        <v>0</v>
      </c>
      <c r="M311">
        <v>0</v>
      </c>
      <c r="N311">
        <v>10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 t="s">
        <v>7</v>
      </c>
    </row>
    <row r="312" spans="1:25" x14ac:dyDescent="0.35">
      <c r="A312">
        <v>3222</v>
      </c>
      <c r="B312" t="s">
        <v>188</v>
      </c>
      <c r="C312" t="s">
        <v>5</v>
      </c>
      <c r="D312" t="s">
        <v>206</v>
      </c>
      <c r="E312">
        <v>0</v>
      </c>
      <c r="F312">
        <v>0</v>
      </c>
      <c r="G312">
        <v>0</v>
      </c>
      <c r="H312" t="s">
        <v>297</v>
      </c>
      <c r="I312">
        <v>10</v>
      </c>
      <c r="J312">
        <v>0</v>
      </c>
      <c r="K312">
        <v>0</v>
      </c>
      <c r="L312">
        <v>0</v>
      </c>
      <c r="M312">
        <v>0</v>
      </c>
      <c r="N312">
        <v>10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 t="s">
        <v>7</v>
      </c>
    </row>
    <row r="313" spans="1:25" x14ac:dyDescent="0.35">
      <c r="A313">
        <v>3239</v>
      </c>
      <c r="B313" t="s">
        <v>188</v>
      </c>
      <c r="C313" t="s">
        <v>5</v>
      </c>
      <c r="D313" t="s">
        <v>206</v>
      </c>
      <c r="E313">
        <v>0</v>
      </c>
      <c r="F313">
        <v>0</v>
      </c>
      <c r="G313">
        <v>0</v>
      </c>
      <c r="H313" t="s">
        <v>297</v>
      </c>
      <c r="I313">
        <v>5</v>
      </c>
      <c r="J313">
        <v>0</v>
      </c>
      <c r="K313">
        <v>0</v>
      </c>
      <c r="L313">
        <v>0</v>
      </c>
      <c r="M313">
        <v>0</v>
      </c>
      <c r="N313">
        <v>5</v>
      </c>
      <c r="O313">
        <v>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 t="s">
        <v>7</v>
      </c>
    </row>
    <row r="314" spans="1:25" x14ac:dyDescent="0.35">
      <c r="A314">
        <v>3415</v>
      </c>
      <c r="B314" t="s">
        <v>188</v>
      </c>
      <c r="C314" t="s">
        <v>5</v>
      </c>
      <c r="D314" t="s">
        <v>206</v>
      </c>
      <c r="E314">
        <v>0</v>
      </c>
      <c r="F314">
        <v>0</v>
      </c>
      <c r="G314">
        <v>0</v>
      </c>
      <c r="H314" t="s">
        <v>297</v>
      </c>
      <c r="I314">
        <v>5</v>
      </c>
      <c r="J314">
        <v>0</v>
      </c>
      <c r="K314">
        <v>0</v>
      </c>
      <c r="L314">
        <v>0</v>
      </c>
      <c r="M314">
        <v>0</v>
      </c>
      <c r="N314">
        <v>5</v>
      </c>
      <c r="O314">
        <v>2</v>
      </c>
      <c r="P314">
        <v>0</v>
      </c>
      <c r="Q314">
        <v>0</v>
      </c>
      <c r="R314">
        <v>3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 t="s">
        <v>7</v>
      </c>
    </row>
    <row r="315" spans="1:25" x14ac:dyDescent="0.35">
      <c r="A315">
        <v>3416</v>
      </c>
      <c r="B315" t="s">
        <v>188</v>
      </c>
      <c r="C315" t="s">
        <v>5</v>
      </c>
      <c r="D315" t="s">
        <v>206</v>
      </c>
      <c r="E315">
        <v>0</v>
      </c>
      <c r="F315">
        <v>0</v>
      </c>
      <c r="G315">
        <v>1</v>
      </c>
      <c r="H315" t="s">
        <v>297</v>
      </c>
      <c r="I315">
        <v>5</v>
      </c>
      <c r="J315">
        <v>0</v>
      </c>
      <c r="K315">
        <v>0</v>
      </c>
      <c r="L315">
        <v>0</v>
      </c>
      <c r="M315">
        <v>0</v>
      </c>
      <c r="N315">
        <v>5</v>
      </c>
      <c r="O315">
        <v>1</v>
      </c>
      <c r="P315">
        <v>0</v>
      </c>
      <c r="Q315">
        <v>0</v>
      </c>
      <c r="R315">
        <v>4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 t="s">
        <v>7</v>
      </c>
    </row>
    <row r="316" spans="1:25" x14ac:dyDescent="0.35">
      <c r="A316">
        <v>3580</v>
      </c>
      <c r="B316" t="s">
        <v>188</v>
      </c>
      <c r="C316" t="s">
        <v>5</v>
      </c>
      <c r="D316" t="s">
        <v>206</v>
      </c>
      <c r="E316">
        <v>1</v>
      </c>
      <c r="F316">
        <v>0</v>
      </c>
      <c r="G316">
        <v>0</v>
      </c>
      <c r="H316" t="s">
        <v>297</v>
      </c>
      <c r="I316">
        <v>7</v>
      </c>
      <c r="J316">
        <v>0</v>
      </c>
      <c r="K316">
        <v>1</v>
      </c>
      <c r="L316">
        <v>0</v>
      </c>
      <c r="M316">
        <v>0</v>
      </c>
      <c r="N316">
        <v>7</v>
      </c>
      <c r="O316">
        <v>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 t="s">
        <v>7</v>
      </c>
    </row>
    <row r="317" spans="1:25" x14ac:dyDescent="0.35">
      <c r="A317">
        <v>3583</v>
      </c>
      <c r="B317" t="s">
        <v>188</v>
      </c>
      <c r="C317" t="s">
        <v>5</v>
      </c>
      <c r="D317" t="s">
        <v>206</v>
      </c>
      <c r="E317">
        <v>1</v>
      </c>
      <c r="F317">
        <v>0</v>
      </c>
      <c r="G317">
        <v>0</v>
      </c>
      <c r="H317" t="s">
        <v>297</v>
      </c>
      <c r="I317">
        <v>8</v>
      </c>
      <c r="J317">
        <v>0</v>
      </c>
      <c r="K317">
        <v>0</v>
      </c>
      <c r="L317">
        <v>0</v>
      </c>
      <c r="M317">
        <v>0</v>
      </c>
      <c r="N317">
        <v>8</v>
      </c>
      <c r="O317">
        <v>1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 t="s">
        <v>7</v>
      </c>
    </row>
    <row r="318" spans="1:25" x14ac:dyDescent="0.35">
      <c r="A318">
        <v>3585</v>
      </c>
      <c r="B318" t="s">
        <v>188</v>
      </c>
      <c r="C318" t="s">
        <v>5</v>
      </c>
      <c r="D318" t="s">
        <v>206</v>
      </c>
      <c r="E318">
        <v>0</v>
      </c>
      <c r="F318">
        <v>0</v>
      </c>
      <c r="G318">
        <v>1</v>
      </c>
      <c r="H318" t="s">
        <v>297</v>
      </c>
      <c r="I318">
        <v>6</v>
      </c>
      <c r="J318">
        <v>0</v>
      </c>
      <c r="K318">
        <v>0</v>
      </c>
      <c r="L318">
        <v>0</v>
      </c>
      <c r="M318">
        <v>0</v>
      </c>
      <c r="N318">
        <v>6</v>
      </c>
      <c r="O318">
        <v>2</v>
      </c>
      <c r="P318">
        <v>0</v>
      </c>
      <c r="Q318">
        <v>0</v>
      </c>
      <c r="R318">
        <v>2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 t="s">
        <v>7</v>
      </c>
    </row>
    <row r="319" spans="1:25" x14ac:dyDescent="0.35">
      <c r="A319">
        <v>3586</v>
      </c>
      <c r="B319" t="s">
        <v>188</v>
      </c>
      <c r="C319" t="s">
        <v>5</v>
      </c>
      <c r="D319" t="s">
        <v>206</v>
      </c>
      <c r="E319">
        <v>0</v>
      </c>
      <c r="F319">
        <v>0</v>
      </c>
      <c r="G319">
        <v>0</v>
      </c>
      <c r="H319" t="s">
        <v>297</v>
      </c>
      <c r="I319">
        <v>5</v>
      </c>
      <c r="J319">
        <v>0</v>
      </c>
      <c r="K319">
        <v>0</v>
      </c>
      <c r="L319">
        <v>0</v>
      </c>
      <c r="M319">
        <v>0</v>
      </c>
      <c r="N319">
        <v>5</v>
      </c>
      <c r="O319">
        <v>4</v>
      </c>
      <c r="P319">
        <v>0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0</v>
      </c>
      <c r="W319">
        <v>0</v>
      </c>
      <c r="X319">
        <v>0</v>
      </c>
      <c r="Y319" t="s">
        <v>7</v>
      </c>
    </row>
    <row r="320" spans="1:25" x14ac:dyDescent="0.35">
      <c r="A320">
        <v>3588</v>
      </c>
      <c r="B320" t="s">
        <v>188</v>
      </c>
      <c r="C320" t="s">
        <v>5</v>
      </c>
      <c r="D320" t="s">
        <v>206</v>
      </c>
      <c r="E320">
        <v>0</v>
      </c>
      <c r="F320">
        <v>0</v>
      </c>
      <c r="G320">
        <v>0</v>
      </c>
      <c r="H320" t="s">
        <v>297</v>
      </c>
      <c r="I320">
        <v>7</v>
      </c>
      <c r="J320">
        <v>0</v>
      </c>
      <c r="K320">
        <v>0</v>
      </c>
      <c r="L320">
        <v>0</v>
      </c>
      <c r="M320">
        <v>0</v>
      </c>
      <c r="N320">
        <v>7</v>
      </c>
      <c r="O320">
        <v>2</v>
      </c>
      <c r="P320">
        <v>0</v>
      </c>
      <c r="Q320">
        <v>0</v>
      </c>
      <c r="R320">
        <v>1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 t="s">
        <v>7</v>
      </c>
    </row>
    <row r="321" spans="1:25" x14ac:dyDescent="0.35">
      <c r="A321">
        <v>3589</v>
      </c>
      <c r="B321" t="s">
        <v>188</v>
      </c>
      <c r="C321" t="s">
        <v>5</v>
      </c>
      <c r="D321" t="s">
        <v>206</v>
      </c>
      <c r="E321">
        <v>1</v>
      </c>
      <c r="F321">
        <v>0</v>
      </c>
      <c r="G321">
        <v>0</v>
      </c>
      <c r="H321" t="s">
        <v>297</v>
      </c>
      <c r="I321">
        <v>8</v>
      </c>
      <c r="J321">
        <v>0</v>
      </c>
      <c r="K321">
        <v>0</v>
      </c>
      <c r="L321">
        <v>0</v>
      </c>
      <c r="M321">
        <v>0</v>
      </c>
      <c r="N321">
        <v>8</v>
      </c>
      <c r="O321">
        <v>2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 t="s">
        <v>7</v>
      </c>
    </row>
    <row r="322" spans="1:25" x14ac:dyDescent="0.35">
      <c r="A322">
        <v>3590</v>
      </c>
      <c r="B322" t="s">
        <v>188</v>
      </c>
      <c r="C322" t="s">
        <v>5</v>
      </c>
      <c r="D322" t="s">
        <v>206</v>
      </c>
      <c r="E322">
        <v>0</v>
      </c>
      <c r="F322">
        <v>0</v>
      </c>
      <c r="G322">
        <v>0</v>
      </c>
      <c r="H322" t="s">
        <v>297</v>
      </c>
      <c r="I322">
        <v>7</v>
      </c>
      <c r="J322">
        <v>0</v>
      </c>
      <c r="K322">
        <v>0</v>
      </c>
      <c r="L322">
        <v>0</v>
      </c>
      <c r="M322">
        <v>0</v>
      </c>
      <c r="N322">
        <v>7</v>
      </c>
      <c r="O322">
        <v>2</v>
      </c>
      <c r="P322">
        <v>0</v>
      </c>
      <c r="Q322">
        <v>1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 t="s">
        <v>7</v>
      </c>
    </row>
    <row r="323" spans="1:25" x14ac:dyDescent="0.35">
      <c r="A323">
        <v>3591</v>
      </c>
      <c r="B323" t="s">
        <v>188</v>
      </c>
      <c r="C323" t="s">
        <v>5</v>
      </c>
      <c r="D323" t="s">
        <v>206</v>
      </c>
      <c r="E323">
        <v>1</v>
      </c>
      <c r="F323">
        <v>0</v>
      </c>
      <c r="G323">
        <v>0</v>
      </c>
      <c r="H323" t="s">
        <v>297</v>
      </c>
      <c r="I323">
        <v>8</v>
      </c>
      <c r="J323">
        <v>0</v>
      </c>
      <c r="K323">
        <v>0</v>
      </c>
      <c r="L323">
        <v>0</v>
      </c>
      <c r="M323">
        <v>0</v>
      </c>
      <c r="N323">
        <v>8</v>
      </c>
      <c r="O323">
        <v>1</v>
      </c>
      <c r="P323">
        <v>1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 t="s">
        <v>7</v>
      </c>
    </row>
    <row r="324" spans="1:25" x14ac:dyDescent="0.35">
      <c r="A324">
        <v>3747</v>
      </c>
      <c r="B324" t="s">
        <v>188</v>
      </c>
      <c r="C324" t="s">
        <v>5</v>
      </c>
      <c r="D324" t="s">
        <v>206</v>
      </c>
      <c r="E324">
        <v>1</v>
      </c>
      <c r="F324">
        <v>0</v>
      </c>
      <c r="G324">
        <v>0</v>
      </c>
      <c r="H324" t="s">
        <v>297</v>
      </c>
      <c r="I324">
        <v>6</v>
      </c>
      <c r="J324">
        <v>0</v>
      </c>
      <c r="K324">
        <v>0</v>
      </c>
      <c r="L324">
        <v>0</v>
      </c>
      <c r="M324">
        <v>3</v>
      </c>
      <c r="N324">
        <v>6</v>
      </c>
      <c r="O324">
        <v>1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 t="s">
        <v>7</v>
      </c>
    </row>
    <row r="325" spans="1:25" x14ac:dyDescent="0.35">
      <c r="A325">
        <v>3805</v>
      </c>
      <c r="B325" t="s">
        <v>188</v>
      </c>
      <c r="C325" t="s">
        <v>5</v>
      </c>
      <c r="D325" t="s">
        <v>206</v>
      </c>
      <c r="E325">
        <v>1</v>
      </c>
      <c r="F325">
        <v>0</v>
      </c>
      <c r="G325">
        <v>0</v>
      </c>
      <c r="H325" t="s">
        <v>297</v>
      </c>
      <c r="I325">
        <v>5</v>
      </c>
      <c r="J325">
        <v>0</v>
      </c>
      <c r="K325">
        <v>4</v>
      </c>
      <c r="L325">
        <v>1</v>
      </c>
      <c r="M325">
        <v>0</v>
      </c>
      <c r="N325">
        <v>5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 t="s">
        <v>7</v>
      </c>
    </row>
    <row r="326" spans="1:25" x14ac:dyDescent="0.35">
      <c r="A326">
        <v>3812</v>
      </c>
      <c r="B326" t="s">
        <v>188</v>
      </c>
      <c r="C326" t="s">
        <v>5</v>
      </c>
      <c r="D326" t="s">
        <v>206</v>
      </c>
      <c r="E326">
        <v>1</v>
      </c>
      <c r="F326">
        <v>0</v>
      </c>
      <c r="G326">
        <v>0</v>
      </c>
      <c r="H326" t="s">
        <v>297</v>
      </c>
      <c r="I326">
        <v>8</v>
      </c>
      <c r="J326">
        <v>0</v>
      </c>
      <c r="K326">
        <v>1</v>
      </c>
      <c r="L326">
        <v>0</v>
      </c>
      <c r="M326">
        <v>0</v>
      </c>
      <c r="N326">
        <v>8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1</v>
      </c>
      <c r="W326">
        <v>0</v>
      </c>
      <c r="X326">
        <v>0</v>
      </c>
      <c r="Y326" t="s">
        <v>7</v>
      </c>
    </row>
    <row r="327" spans="1:25" x14ac:dyDescent="0.35">
      <c r="A327">
        <v>3815</v>
      </c>
      <c r="B327" t="s">
        <v>188</v>
      </c>
      <c r="C327" t="s">
        <v>5</v>
      </c>
      <c r="D327" t="s">
        <v>206</v>
      </c>
      <c r="E327">
        <v>1</v>
      </c>
      <c r="F327">
        <v>0</v>
      </c>
      <c r="G327">
        <v>0</v>
      </c>
      <c r="H327" t="s">
        <v>297</v>
      </c>
      <c r="I327">
        <v>7</v>
      </c>
      <c r="J327">
        <v>2</v>
      </c>
      <c r="K327">
        <v>0</v>
      </c>
      <c r="L327">
        <v>0</v>
      </c>
      <c r="M327">
        <v>0</v>
      </c>
      <c r="N327">
        <v>7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 t="s">
        <v>7</v>
      </c>
    </row>
    <row r="328" spans="1:25" x14ac:dyDescent="0.35">
      <c r="A328">
        <v>3819</v>
      </c>
      <c r="B328" t="s">
        <v>188</v>
      </c>
      <c r="C328" t="s">
        <v>5</v>
      </c>
      <c r="D328" t="s">
        <v>206</v>
      </c>
      <c r="E328">
        <v>1</v>
      </c>
      <c r="F328">
        <v>0</v>
      </c>
      <c r="G328">
        <v>0</v>
      </c>
      <c r="H328" t="s">
        <v>297</v>
      </c>
      <c r="I328">
        <v>5</v>
      </c>
      <c r="J328">
        <v>4</v>
      </c>
      <c r="K328">
        <v>0</v>
      </c>
      <c r="L328">
        <v>0</v>
      </c>
      <c r="M328">
        <v>0</v>
      </c>
      <c r="N328">
        <v>5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1</v>
      </c>
      <c r="Y328" t="s">
        <v>7</v>
      </c>
    </row>
    <row r="329" spans="1:25" x14ac:dyDescent="0.35">
      <c r="A329">
        <v>3117</v>
      </c>
      <c r="B329" t="s">
        <v>178</v>
      </c>
      <c r="C329" t="s">
        <v>13</v>
      </c>
      <c r="D329" t="s">
        <v>232</v>
      </c>
      <c r="E329">
        <v>1</v>
      </c>
      <c r="F329">
        <v>0</v>
      </c>
      <c r="G329">
        <v>0</v>
      </c>
      <c r="H329" t="s">
        <v>297</v>
      </c>
      <c r="I329">
        <v>10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10</v>
      </c>
      <c r="Y329" t="s">
        <v>11</v>
      </c>
    </row>
    <row r="330" spans="1:25" x14ac:dyDescent="0.35">
      <c r="A330">
        <v>3182</v>
      </c>
      <c r="B330" t="s">
        <v>178</v>
      </c>
      <c r="C330" t="s">
        <v>11</v>
      </c>
      <c r="D330" t="s">
        <v>232</v>
      </c>
      <c r="E330">
        <v>0</v>
      </c>
      <c r="F330">
        <v>0</v>
      </c>
      <c r="G330">
        <v>0</v>
      </c>
      <c r="H330" t="s">
        <v>297</v>
      </c>
      <c r="I330">
        <v>5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4</v>
      </c>
      <c r="P330">
        <v>0</v>
      </c>
      <c r="Q330">
        <v>0</v>
      </c>
      <c r="R330">
        <v>0</v>
      </c>
      <c r="S330">
        <v>1</v>
      </c>
      <c r="T330">
        <v>0</v>
      </c>
      <c r="U330">
        <v>5</v>
      </c>
      <c r="V330">
        <v>0</v>
      </c>
      <c r="W330">
        <v>0</v>
      </c>
      <c r="X330">
        <v>0</v>
      </c>
      <c r="Y330" t="s">
        <v>11</v>
      </c>
    </row>
    <row r="331" spans="1:25" x14ac:dyDescent="0.35">
      <c r="A331">
        <v>3185</v>
      </c>
      <c r="B331" t="s">
        <v>178</v>
      </c>
      <c r="C331" t="s">
        <v>11</v>
      </c>
      <c r="D331" t="s">
        <v>232</v>
      </c>
      <c r="E331">
        <v>0</v>
      </c>
      <c r="F331">
        <v>0</v>
      </c>
      <c r="G331">
        <v>0</v>
      </c>
      <c r="H331" t="s">
        <v>297</v>
      </c>
      <c r="I331">
        <v>5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4</v>
      </c>
      <c r="P331">
        <v>0</v>
      </c>
      <c r="Q331">
        <v>1</v>
      </c>
      <c r="R331">
        <v>0</v>
      </c>
      <c r="S331">
        <v>0</v>
      </c>
      <c r="T331">
        <v>0</v>
      </c>
      <c r="U331">
        <v>5</v>
      </c>
      <c r="V331">
        <v>0</v>
      </c>
      <c r="W331">
        <v>0</v>
      </c>
      <c r="X331">
        <v>0</v>
      </c>
      <c r="Y331" t="s">
        <v>11</v>
      </c>
    </row>
    <row r="332" spans="1:25" x14ac:dyDescent="0.35">
      <c r="A332">
        <v>3347</v>
      </c>
      <c r="B332" t="s">
        <v>178</v>
      </c>
      <c r="C332" t="s">
        <v>11</v>
      </c>
      <c r="D332" t="s">
        <v>232</v>
      </c>
      <c r="E332">
        <v>1</v>
      </c>
      <c r="F332">
        <v>0</v>
      </c>
      <c r="G332">
        <v>0</v>
      </c>
      <c r="H332" t="s">
        <v>297</v>
      </c>
      <c r="I332">
        <v>5</v>
      </c>
      <c r="J332">
        <v>0</v>
      </c>
      <c r="K332">
        <v>2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3</v>
      </c>
      <c r="S332">
        <v>0</v>
      </c>
      <c r="T332">
        <v>0</v>
      </c>
      <c r="U332">
        <v>5</v>
      </c>
      <c r="V332">
        <v>0</v>
      </c>
      <c r="W332">
        <v>0</v>
      </c>
      <c r="X332">
        <v>0</v>
      </c>
      <c r="Y332" t="s">
        <v>11</v>
      </c>
    </row>
    <row r="333" spans="1:25" x14ac:dyDescent="0.35">
      <c r="A333">
        <v>3348</v>
      </c>
      <c r="B333" t="s">
        <v>178</v>
      </c>
      <c r="C333" t="s">
        <v>11</v>
      </c>
      <c r="D333" t="s">
        <v>232</v>
      </c>
      <c r="E333">
        <v>1</v>
      </c>
      <c r="F333">
        <v>0</v>
      </c>
      <c r="G333">
        <v>0</v>
      </c>
      <c r="H333" t="s">
        <v>297</v>
      </c>
      <c r="I333">
        <v>10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10</v>
      </c>
      <c r="V333">
        <v>0</v>
      </c>
      <c r="W333">
        <v>0</v>
      </c>
      <c r="X333">
        <v>0</v>
      </c>
      <c r="Y333" t="s">
        <v>11</v>
      </c>
    </row>
    <row r="334" spans="1:25" x14ac:dyDescent="0.35">
      <c r="A334">
        <v>3349</v>
      </c>
      <c r="B334" t="s">
        <v>178</v>
      </c>
      <c r="C334" t="s">
        <v>11</v>
      </c>
      <c r="D334" t="s">
        <v>232</v>
      </c>
      <c r="E334">
        <v>0</v>
      </c>
      <c r="F334">
        <v>0</v>
      </c>
      <c r="G334">
        <v>0</v>
      </c>
      <c r="H334" t="s">
        <v>297</v>
      </c>
      <c r="I334">
        <v>6</v>
      </c>
      <c r="J334">
        <v>0</v>
      </c>
      <c r="K334">
        <v>0</v>
      </c>
      <c r="L334">
        <v>0</v>
      </c>
      <c r="M334">
        <v>0</v>
      </c>
      <c r="N334">
        <v>1</v>
      </c>
      <c r="O334">
        <v>0</v>
      </c>
      <c r="P334">
        <v>0</v>
      </c>
      <c r="Q334">
        <v>0</v>
      </c>
      <c r="R334">
        <v>3</v>
      </c>
      <c r="S334">
        <v>0</v>
      </c>
      <c r="T334">
        <v>0</v>
      </c>
      <c r="U334">
        <v>6</v>
      </c>
      <c r="V334">
        <v>0</v>
      </c>
      <c r="W334">
        <v>0</v>
      </c>
      <c r="X334">
        <v>0</v>
      </c>
      <c r="Y334" t="s">
        <v>11</v>
      </c>
    </row>
    <row r="335" spans="1:25" x14ac:dyDescent="0.35">
      <c r="A335">
        <v>3351</v>
      </c>
      <c r="B335" t="s">
        <v>178</v>
      </c>
      <c r="C335" t="s">
        <v>11</v>
      </c>
      <c r="D335" t="s">
        <v>232</v>
      </c>
      <c r="E335">
        <v>1</v>
      </c>
      <c r="F335">
        <v>0</v>
      </c>
      <c r="G335">
        <v>1</v>
      </c>
      <c r="H335" t="s">
        <v>297</v>
      </c>
      <c r="I335">
        <v>6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3</v>
      </c>
      <c r="T335">
        <v>0</v>
      </c>
      <c r="U335">
        <v>6</v>
      </c>
      <c r="V335">
        <v>0</v>
      </c>
      <c r="W335">
        <v>0</v>
      </c>
      <c r="X335">
        <v>0</v>
      </c>
      <c r="Y335" t="s">
        <v>11</v>
      </c>
    </row>
    <row r="336" spans="1:25" x14ac:dyDescent="0.35">
      <c r="A336">
        <v>3354</v>
      </c>
      <c r="B336" t="s">
        <v>178</v>
      </c>
      <c r="C336" t="s">
        <v>11</v>
      </c>
      <c r="D336" t="s">
        <v>232</v>
      </c>
      <c r="E336">
        <v>1</v>
      </c>
      <c r="F336">
        <v>0</v>
      </c>
      <c r="G336">
        <v>0</v>
      </c>
      <c r="H336" t="s">
        <v>297</v>
      </c>
      <c r="I336">
        <v>8</v>
      </c>
      <c r="J336">
        <v>0</v>
      </c>
      <c r="K336">
        <v>0</v>
      </c>
      <c r="L336">
        <v>0</v>
      </c>
      <c r="M336">
        <v>0</v>
      </c>
      <c r="N336">
        <v>1</v>
      </c>
      <c r="O336">
        <v>1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8</v>
      </c>
      <c r="V336">
        <v>0</v>
      </c>
      <c r="W336">
        <v>0</v>
      </c>
      <c r="X336">
        <v>0</v>
      </c>
      <c r="Y336" t="s">
        <v>11</v>
      </c>
    </row>
    <row r="337" spans="1:25" x14ac:dyDescent="0.35">
      <c r="A337">
        <v>3355</v>
      </c>
      <c r="B337" t="s">
        <v>178</v>
      </c>
      <c r="C337" t="s">
        <v>11</v>
      </c>
      <c r="D337" t="s">
        <v>232</v>
      </c>
      <c r="E337">
        <v>1</v>
      </c>
      <c r="F337">
        <v>0</v>
      </c>
      <c r="G337">
        <v>0</v>
      </c>
      <c r="H337" t="s">
        <v>297</v>
      </c>
      <c r="I337">
        <v>8</v>
      </c>
      <c r="J337">
        <v>0</v>
      </c>
      <c r="K337">
        <v>0</v>
      </c>
      <c r="L337">
        <v>0</v>
      </c>
      <c r="M337">
        <v>0</v>
      </c>
      <c r="N337">
        <v>1</v>
      </c>
      <c r="O337">
        <v>0</v>
      </c>
      <c r="P337">
        <v>0</v>
      </c>
      <c r="Q337">
        <v>0</v>
      </c>
      <c r="R337">
        <v>1</v>
      </c>
      <c r="S337">
        <v>0</v>
      </c>
      <c r="T337">
        <v>0</v>
      </c>
      <c r="U337">
        <v>8</v>
      </c>
      <c r="V337">
        <v>0</v>
      </c>
      <c r="W337">
        <v>0</v>
      </c>
      <c r="X337">
        <v>0</v>
      </c>
      <c r="Y337" t="s">
        <v>11</v>
      </c>
    </row>
    <row r="338" spans="1:25" x14ac:dyDescent="0.35">
      <c r="A338">
        <v>3356</v>
      </c>
      <c r="B338" t="s">
        <v>178</v>
      </c>
      <c r="C338" t="s">
        <v>11</v>
      </c>
      <c r="D338" t="s">
        <v>232</v>
      </c>
      <c r="E338">
        <v>1</v>
      </c>
      <c r="F338">
        <v>0</v>
      </c>
      <c r="G338">
        <v>0</v>
      </c>
      <c r="H338" t="s">
        <v>297</v>
      </c>
      <c r="I338">
        <v>8</v>
      </c>
      <c r="J338">
        <v>0</v>
      </c>
      <c r="K338">
        <v>0</v>
      </c>
      <c r="L338">
        <v>0</v>
      </c>
      <c r="M338">
        <v>0</v>
      </c>
      <c r="N338">
        <v>1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  <c r="U338">
        <v>8</v>
      </c>
      <c r="V338">
        <v>0</v>
      </c>
      <c r="W338">
        <v>0</v>
      </c>
      <c r="X338">
        <v>0</v>
      </c>
      <c r="Y338" t="s">
        <v>11</v>
      </c>
    </row>
    <row r="339" spans="1:25" x14ac:dyDescent="0.35">
      <c r="A339">
        <v>3359</v>
      </c>
      <c r="B339" t="s">
        <v>178</v>
      </c>
      <c r="C339" t="s">
        <v>11</v>
      </c>
      <c r="D339" t="s">
        <v>232</v>
      </c>
      <c r="E339">
        <v>0</v>
      </c>
      <c r="F339">
        <v>0</v>
      </c>
      <c r="G339">
        <v>0</v>
      </c>
      <c r="H339" t="s">
        <v>297</v>
      </c>
      <c r="I339">
        <v>5</v>
      </c>
      <c r="J339">
        <v>0</v>
      </c>
      <c r="K339">
        <v>0</v>
      </c>
      <c r="L339">
        <v>0</v>
      </c>
      <c r="M339">
        <v>0</v>
      </c>
      <c r="N339">
        <v>3</v>
      </c>
      <c r="O339">
        <v>0</v>
      </c>
      <c r="P339">
        <v>0</v>
      </c>
      <c r="Q339">
        <v>0</v>
      </c>
      <c r="R339">
        <v>2</v>
      </c>
      <c r="S339">
        <v>0</v>
      </c>
      <c r="T339">
        <v>0</v>
      </c>
      <c r="U339">
        <v>5</v>
      </c>
      <c r="V339">
        <v>0</v>
      </c>
      <c r="W339">
        <v>0</v>
      </c>
      <c r="X339">
        <v>0</v>
      </c>
      <c r="Y339" t="s">
        <v>11</v>
      </c>
    </row>
    <row r="340" spans="1:25" x14ac:dyDescent="0.35">
      <c r="A340">
        <v>3362</v>
      </c>
      <c r="B340" t="s">
        <v>178</v>
      </c>
      <c r="C340" t="s">
        <v>11</v>
      </c>
      <c r="D340" t="s">
        <v>232</v>
      </c>
      <c r="E340">
        <v>1</v>
      </c>
      <c r="F340">
        <v>0</v>
      </c>
      <c r="G340">
        <v>0</v>
      </c>
      <c r="H340" t="s">
        <v>297</v>
      </c>
      <c r="I340">
        <v>9</v>
      </c>
      <c r="J340">
        <v>0</v>
      </c>
      <c r="K340">
        <v>0</v>
      </c>
      <c r="L340">
        <v>0</v>
      </c>
      <c r="M340">
        <v>0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9</v>
      </c>
      <c r="V340">
        <v>0</v>
      </c>
      <c r="W340">
        <v>0</v>
      </c>
      <c r="X340">
        <v>0</v>
      </c>
      <c r="Y340" t="s">
        <v>11</v>
      </c>
    </row>
    <row r="341" spans="1:25" x14ac:dyDescent="0.35">
      <c r="A341">
        <v>3364</v>
      </c>
      <c r="B341" t="s">
        <v>178</v>
      </c>
      <c r="C341" t="s">
        <v>11</v>
      </c>
      <c r="D341" t="s">
        <v>232</v>
      </c>
      <c r="E341">
        <v>0</v>
      </c>
      <c r="F341">
        <v>0</v>
      </c>
      <c r="G341">
        <v>0</v>
      </c>
      <c r="H341" t="s">
        <v>297</v>
      </c>
      <c r="I341">
        <v>6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2</v>
      </c>
      <c r="S341">
        <v>0</v>
      </c>
      <c r="T341">
        <v>0</v>
      </c>
      <c r="U341">
        <v>6</v>
      </c>
      <c r="V341">
        <v>0</v>
      </c>
      <c r="W341">
        <v>0</v>
      </c>
      <c r="X341">
        <v>2</v>
      </c>
      <c r="Y341" t="s">
        <v>11</v>
      </c>
    </row>
    <row r="342" spans="1:25" x14ac:dyDescent="0.35">
      <c r="A342">
        <v>3365</v>
      </c>
      <c r="B342" t="s">
        <v>178</v>
      </c>
      <c r="C342" t="s">
        <v>11</v>
      </c>
      <c r="D342" t="s">
        <v>232</v>
      </c>
      <c r="E342">
        <v>1</v>
      </c>
      <c r="F342">
        <v>0</v>
      </c>
      <c r="G342">
        <v>0</v>
      </c>
      <c r="H342" t="s">
        <v>297</v>
      </c>
      <c r="I342">
        <v>6</v>
      </c>
      <c r="J342">
        <v>0</v>
      </c>
      <c r="K342">
        <v>0</v>
      </c>
      <c r="L342">
        <v>0</v>
      </c>
      <c r="M342">
        <v>0</v>
      </c>
      <c r="N342">
        <v>3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0</v>
      </c>
      <c r="U342">
        <v>6</v>
      </c>
      <c r="V342">
        <v>0</v>
      </c>
      <c r="W342">
        <v>0</v>
      </c>
      <c r="X342">
        <v>0</v>
      </c>
      <c r="Y342" t="s">
        <v>11</v>
      </c>
    </row>
    <row r="343" spans="1:25" x14ac:dyDescent="0.35">
      <c r="A343">
        <v>3367</v>
      </c>
      <c r="B343" t="s">
        <v>178</v>
      </c>
      <c r="C343" t="s">
        <v>11</v>
      </c>
      <c r="D343" t="s">
        <v>232</v>
      </c>
      <c r="E343">
        <v>1</v>
      </c>
      <c r="F343">
        <v>0</v>
      </c>
      <c r="G343">
        <v>0</v>
      </c>
      <c r="H343" t="s">
        <v>297</v>
      </c>
      <c r="I343">
        <v>8</v>
      </c>
      <c r="J343">
        <v>0</v>
      </c>
      <c r="K343">
        <v>0</v>
      </c>
      <c r="L343">
        <v>0</v>
      </c>
      <c r="M343">
        <v>0</v>
      </c>
      <c r="N343">
        <v>1</v>
      </c>
      <c r="O343">
        <v>1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8</v>
      </c>
      <c r="V343">
        <v>0</v>
      </c>
      <c r="W343">
        <v>0</v>
      </c>
      <c r="X343">
        <v>0</v>
      </c>
      <c r="Y343" t="s">
        <v>11</v>
      </c>
    </row>
    <row r="344" spans="1:25" x14ac:dyDescent="0.35">
      <c r="A344">
        <v>3700</v>
      </c>
      <c r="B344" t="s">
        <v>178</v>
      </c>
      <c r="C344" t="s">
        <v>11</v>
      </c>
      <c r="D344" t="s">
        <v>232</v>
      </c>
      <c r="E344">
        <v>0</v>
      </c>
      <c r="F344">
        <v>0</v>
      </c>
      <c r="G344">
        <v>0</v>
      </c>
      <c r="H344" t="s">
        <v>297</v>
      </c>
      <c r="I344">
        <v>5</v>
      </c>
      <c r="J344">
        <v>0</v>
      </c>
      <c r="K344">
        <v>0</v>
      </c>
      <c r="L344">
        <v>0</v>
      </c>
      <c r="M344">
        <v>1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4</v>
      </c>
      <c r="T344">
        <v>0</v>
      </c>
      <c r="U344">
        <v>5</v>
      </c>
      <c r="V344">
        <v>0</v>
      </c>
      <c r="W344">
        <v>0</v>
      </c>
      <c r="X344">
        <v>0</v>
      </c>
      <c r="Y344" t="s">
        <v>11</v>
      </c>
    </row>
    <row r="345" spans="1:25" x14ac:dyDescent="0.35">
      <c r="A345">
        <v>3701</v>
      </c>
      <c r="B345" t="s">
        <v>178</v>
      </c>
      <c r="C345" t="s">
        <v>11</v>
      </c>
      <c r="D345" t="s">
        <v>232</v>
      </c>
      <c r="E345">
        <v>1</v>
      </c>
      <c r="F345">
        <v>0</v>
      </c>
      <c r="G345">
        <v>0</v>
      </c>
      <c r="H345" t="s">
        <v>297</v>
      </c>
      <c r="I345">
        <v>5</v>
      </c>
      <c r="J345">
        <v>0</v>
      </c>
      <c r="K345">
        <v>0</v>
      </c>
      <c r="L345">
        <v>0</v>
      </c>
      <c r="M345">
        <v>0</v>
      </c>
      <c r="N345">
        <v>1</v>
      </c>
      <c r="O345">
        <v>0</v>
      </c>
      <c r="P345">
        <v>0</v>
      </c>
      <c r="Q345">
        <v>0</v>
      </c>
      <c r="R345">
        <v>4</v>
      </c>
      <c r="S345">
        <v>0</v>
      </c>
      <c r="T345">
        <v>0</v>
      </c>
      <c r="U345">
        <v>5</v>
      </c>
      <c r="V345">
        <v>0</v>
      </c>
      <c r="W345">
        <v>0</v>
      </c>
      <c r="X345">
        <v>0</v>
      </c>
      <c r="Y345" t="s">
        <v>11</v>
      </c>
    </row>
    <row r="346" spans="1:25" x14ac:dyDescent="0.35">
      <c r="A346">
        <v>3702</v>
      </c>
      <c r="B346" t="s">
        <v>178</v>
      </c>
      <c r="C346" t="s">
        <v>11</v>
      </c>
      <c r="D346" t="s">
        <v>232</v>
      </c>
      <c r="E346">
        <v>1</v>
      </c>
      <c r="F346">
        <v>0</v>
      </c>
      <c r="G346">
        <v>0</v>
      </c>
      <c r="H346" t="s">
        <v>297</v>
      </c>
      <c r="I346">
        <v>6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4</v>
      </c>
      <c r="S346">
        <v>0</v>
      </c>
      <c r="T346">
        <v>0</v>
      </c>
      <c r="U346">
        <v>6</v>
      </c>
      <c r="V346">
        <v>0</v>
      </c>
      <c r="W346">
        <v>0</v>
      </c>
      <c r="X346">
        <v>0</v>
      </c>
      <c r="Y346" t="s">
        <v>11</v>
      </c>
    </row>
    <row r="347" spans="1:25" x14ac:dyDescent="0.35">
      <c r="A347">
        <v>3705</v>
      </c>
      <c r="B347" t="s">
        <v>178</v>
      </c>
      <c r="C347" t="s">
        <v>11</v>
      </c>
      <c r="D347" t="s">
        <v>232</v>
      </c>
      <c r="E347">
        <v>1</v>
      </c>
      <c r="F347">
        <v>0</v>
      </c>
      <c r="G347">
        <v>0</v>
      </c>
      <c r="H347" t="s">
        <v>297</v>
      </c>
      <c r="I347">
        <v>6</v>
      </c>
      <c r="J347">
        <v>0</v>
      </c>
      <c r="K347">
        <v>2</v>
      </c>
      <c r="L347">
        <v>2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6</v>
      </c>
      <c r="V347">
        <v>0</v>
      </c>
      <c r="W347">
        <v>0</v>
      </c>
      <c r="X347">
        <v>0</v>
      </c>
      <c r="Y347" t="s">
        <v>11</v>
      </c>
    </row>
    <row r="348" spans="1:25" x14ac:dyDescent="0.35">
      <c r="A348">
        <v>3709</v>
      </c>
      <c r="B348" t="s">
        <v>178</v>
      </c>
      <c r="C348" t="s">
        <v>11</v>
      </c>
      <c r="D348" t="s">
        <v>232</v>
      </c>
      <c r="E348">
        <v>0</v>
      </c>
      <c r="F348">
        <v>0</v>
      </c>
      <c r="G348">
        <v>1</v>
      </c>
      <c r="H348" t="s">
        <v>297</v>
      </c>
      <c r="I348">
        <v>6</v>
      </c>
      <c r="J348">
        <v>0</v>
      </c>
      <c r="K348">
        <v>3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6</v>
      </c>
      <c r="V348">
        <v>0</v>
      </c>
      <c r="W348">
        <v>0</v>
      </c>
      <c r="X348">
        <v>0</v>
      </c>
      <c r="Y348" t="s">
        <v>11</v>
      </c>
    </row>
    <row r="349" spans="1:25" x14ac:dyDescent="0.35">
      <c r="A349">
        <v>3715</v>
      </c>
      <c r="B349" t="s">
        <v>178</v>
      </c>
      <c r="C349" t="s">
        <v>11</v>
      </c>
      <c r="D349" t="s">
        <v>232</v>
      </c>
      <c r="E349">
        <v>1</v>
      </c>
      <c r="F349">
        <v>0</v>
      </c>
      <c r="G349">
        <v>0</v>
      </c>
      <c r="H349" t="s">
        <v>297</v>
      </c>
      <c r="I349">
        <v>6</v>
      </c>
      <c r="J349">
        <v>0</v>
      </c>
      <c r="K349">
        <v>2</v>
      </c>
      <c r="L349">
        <v>0</v>
      </c>
      <c r="M349">
        <v>0</v>
      </c>
      <c r="N349">
        <v>2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6</v>
      </c>
      <c r="V349">
        <v>0</v>
      </c>
      <c r="W349">
        <v>0</v>
      </c>
      <c r="X349">
        <v>0</v>
      </c>
      <c r="Y349" t="s">
        <v>11</v>
      </c>
    </row>
    <row r="350" spans="1:25" x14ac:dyDescent="0.35">
      <c r="A350">
        <v>3315</v>
      </c>
      <c r="B350" t="s">
        <v>139</v>
      </c>
      <c r="C350" t="s">
        <v>119</v>
      </c>
      <c r="D350" t="s">
        <v>232</v>
      </c>
      <c r="E350">
        <v>1</v>
      </c>
      <c r="F350">
        <v>0</v>
      </c>
      <c r="G350">
        <v>0</v>
      </c>
      <c r="H350" t="s">
        <v>297</v>
      </c>
      <c r="I350">
        <v>7</v>
      </c>
      <c r="J350">
        <v>0</v>
      </c>
      <c r="K350">
        <v>7</v>
      </c>
      <c r="L350">
        <v>0</v>
      </c>
      <c r="M350">
        <v>0</v>
      </c>
      <c r="N350">
        <v>0</v>
      </c>
      <c r="O350">
        <v>2</v>
      </c>
      <c r="P350">
        <v>0</v>
      </c>
      <c r="Q350">
        <v>0</v>
      </c>
      <c r="R350">
        <v>0</v>
      </c>
      <c r="S350">
        <v>1</v>
      </c>
      <c r="T350">
        <v>0</v>
      </c>
      <c r="U350">
        <v>0</v>
      </c>
      <c r="V350">
        <v>0</v>
      </c>
      <c r="W350">
        <v>0</v>
      </c>
      <c r="X350">
        <v>0</v>
      </c>
      <c r="Y350" t="s">
        <v>119</v>
      </c>
    </row>
    <row r="351" spans="1:25" x14ac:dyDescent="0.35">
      <c r="A351">
        <v>3317</v>
      </c>
      <c r="B351" t="s">
        <v>139</v>
      </c>
      <c r="C351" t="s">
        <v>119</v>
      </c>
      <c r="D351" t="s">
        <v>232</v>
      </c>
      <c r="E351">
        <v>1</v>
      </c>
      <c r="F351">
        <v>0</v>
      </c>
      <c r="G351">
        <v>1</v>
      </c>
      <c r="H351" t="s">
        <v>297</v>
      </c>
      <c r="I351">
        <v>5</v>
      </c>
      <c r="J351">
        <v>0</v>
      </c>
      <c r="K351">
        <v>5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4</v>
      </c>
      <c r="T351">
        <v>0</v>
      </c>
      <c r="U351">
        <v>0</v>
      </c>
      <c r="V351">
        <v>0</v>
      </c>
      <c r="W351">
        <v>0</v>
      </c>
      <c r="X351">
        <v>0</v>
      </c>
      <c r="Y351" t="s">
        <v>119</v>
      </c>
    </row>
    <row r="352" spans="1:25" x14ac:dyDescent="0.35">
      <c r="A352">
        <v>3319</v>
      </c>
      <c r="B352" t="s">
        <v>139</v>
      </c>
      <c r="C352" t="s">
        <v>119</v>
      </c>
      <c r="D352" t="s">
        <v>232</v>
      </c>
      <c r="E352">
        <v>0</v>
      </c>
      <c r="F352">
        <v>0</v>
      </c>
      <c r="G352">
        <v>0</v>
      </c>
      <c r="H352" t="s">
        <v>297</v>
      </c>
      <c r="I352">
        <v>8</v>
      </c>
      <c r="J352">
        <v>0</v>
      </c>
      <c r="K352">
        <v>8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1</v>
      </c>
      <c r="Y352" t="s">
        <v>119</v>
      </c>
    </row>
    <row r="353" spans="1:25" x14ac:dyDescent="0.35">
      <c r="A353">
        <v>3320</v>
      </c>
      <c r="B353" t="s">
        <v>139</v>
      </c>
      <c r="C353" t="s">
        <v>119</v>
      </c>
      <c r="D353" t="s">
        <v>232</v>
      </c>
      <c r="E353">
        <v>1</v>
      </c>
      <c r="F353">
        <v>0</v>
      </c>
      <c r="G353">
        <v>0</v>
      </c>
      <c r="H353" t="s">
        <v>297</v>
      </c>
      <c r="I353">
        <v>6</v>
      </c>
      <c r="J353">
        <v>2</v>
      </c>
      <c r="K353">
        <v>6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2</v>
      </c>
      <c r="U353">
        <v>0</v>
      </c>
      <c r="V353">
        <v>0</v>
      </c>
      <c r="W353">
        <v>0</v>
      </c>
      <c r="X353">
        <v>0</v>
      </c>
      <c r="Y353" t="s">
        <v>119</v>
      </c>
    </row>
    <row r="354" spans="1:25" x14ac:dyDescent="0.35">
      <c r="A354">
        <v>3323</v>
      </c>
      <c r="B354" t="s">
        <v>139</v>
      </c>
      <c r="C354" t="s">
        <v>119</v>
      </c>
      <c r="D354" t="s">
        <v>232</v>
      </c>
      <c r="E354">
        <v>0</v>
      </c>
      <c r="F354">
        <v>0</v>
      </c>
      <c r="G354">
        <v>0</v>
      </c>
      <c r="H354" t="s">
        <v>297</v>
      </c>
      <c r="I354">
        <v>6</v>
      </c>
      <c r="J354">
        <v>0</v>
      </c>
      <c r="K354">
        <v>6</v>
      </c>
      <c r="L354">
        <v>0</v>
      </c>
      <c r="M354">
        <v>0</v>
      </c>
      <c r="N354">
        <v>0</v>
      </c>
      <c r="O354">
        <v>3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 t="s">
        <v>119</v>
      </c>
    </row>
    <row r="355" spans="1:25" x14ac:dyDescent="0.35">
      <c r="A355">
        <v>3324</v>
      </c>
      <c r="B355" t="s">
        <v>139</v>
      </c>
      <c r="C355" t="s">
        <v>119</v>
      </c>
      <c r="D355" t="s">
        <v>232</v>
      </c>
      <c r="E355">
        <v>0</v>
      </c>
      <c r="F355">
        <v>0</v>
      </c>
      <c r="G355">
        <v>0</v>
      </c>
      <c r="H355" t="s">
        <v>297</v>
      </c>
      <c r="I355">
        <v>5</v>
      </c>
      <c r="J355">
        <v>0</v>
      </c>
      <c r="K355">
        <v>5</v>
      </c>
      <c r="L355">
        <v>0</v>
      </c>
      <c r="M355">
        <v>0</v>
      </c>
      <c r="N355">
        <v>0</v>
      </c>
      <c r="O355">
        <v>1</v>
      </c>
      <c r="P355">
        <v>0</v>
      </c>
      <c r="Q355">
        <v>0</v>
      </c>
      <c r="R355">
        <v>0</v>
      </c>
      <c r="S355">
        <v>4</v>
      </c>
      <c r="T355">
        <v>0</v>
      </c>
      <c r="U355">
        <v>0</v>
      </c>
      <c r="V355">
        <v>0</v>
      </c>
      <c r="W355">
        <v>0</v>
      </c>
      <c r="X355">
        <v>0</v>
      </c>
      <c r="Y355" t="s">
        <v>119</v>
      </c>
    </row>
    <row r="356" spans="1:25" x14ac:dyDescent="0.35">
      <c r="A356">
        <v>3368</v>
      </c>
      <c r="B356" t="s">
        <v>139</v>
      </c>
      <c r="C356" t="s">
        <v>119</v>
      </c>
      <c r="D356" t="s">
        <v>232</v>
      </c>
      <c r="E356">
        <v>1</v>
      </c>
      <c r="F356">
        <v>0</v>
      </c>
      <c r="G356">
        <v>0</v>
      </c>
      <c r="H356" t="s">
        <v>297</v>
      </c>
      <c r="I356">
        <v>6</v>
      </c>
      <c r="J356">
        <v>0</v>
      </c>
      <c r="K356">
        <v>6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3</v>
      </c>
      <c r="W356">
        <v>0</v>
      </c>
      <c r="X356">
        <v>0</v>
      </c>
      <c r="Y356" t="s">
        <v>119</v>
      </c>
    </row>
    <row r="357" spans="1:25" x14ac:dyDescent="0.35">
      <c r="A357">
        <v>3372</v>
      </c>
      <c r="B357" t="s">
        <v>139</v>
      </c>
      <c r="C357" t="s">
        <v>119</v>
      </c>
      <c r="D357" t="s">
        <v>232</v>
      </c>
      <c r="E357">
        <v>1</v>
      </c>
      <c r="F357">
        <v>0</v>
      </c>
      <c r="G357">
        <v>0</v>
      </c>
      <c r="H357" t="s">
        <v>297</v>
      </c>
      <c r="I357">
        <v>7</v>
      </c>
      <c r="J357">
        <v>1</v>
      </c>
      <c r="K357">
        <v>7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2</v>
      </c>
      <c r="W357">
        <v>0</v>
      </c>
      <c r="X357">
        <v>0</v>
      </c>
      <c r="Y357" t="s">
        <v>119</v>
      </c>
    </row>
    <row r="358" spans="1:25" x14ac:dyDescent="0.35">
      <c r="A358">
        <v>3373</v>
      </c>
      <c r="B358" t="s">
        <v>139</v>
      </c>
      <c r="C358" t="s">
        <v>119</v>
      </c>
      <c r="D358" t="s">
        <v>232</v>
      </c>
      <c r="E358">
        <v>0</v>
      </c>
      <c r="F358">
        <v>1</v>
      </c>
      <c r="G358">
        <v>0</v>
      </c>
      <c r="H358" t="s">
        <v>297</v>
      </c>
      <c r="I358">
        <v>8</v>
      </c>
      <c r="J358">
        <v>0</v>
      </c>
      <c r="K358">
        <v>8</v>
      </c>
      <c r="L358">
        <v>0</v>
      </c>
      <c r="M358">
        <v>0</v>
      </c>
      <c r="N358">
        <v>1</v>
      </c>
      <c r="O358">
        <v>1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 t="s">
        <v>119</v>
      </c>
    </row>
    <row r="359" spans="1:25" x14ac:dyDescent="0.35">
      <c r="A359">
        <v>3375</v>
      </c>
      <c r="B359" t="s">
        <v>139</v>
      </c>
      <c r="C359" t="s">
        <v>119</v>
      </c>
      <c r="D359" t="s">
        <v>232</v>
      </c>
      <c r="E359">
        <v>0</v>
      </c>
      <c r="F359">
        <v>1</v>
      </c>
      <c r="G359">
        <v>0</v>
      </c>
      <c r="H359" t="s">
        <v>297</v>
      </c>
      <c r="I359">
        <v>7</v>
      </c>
      <c r="J359">
        <v>1</v>
      </c>
      <c r="K359">
        <v>7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2</v>
      </c>
      <c r="W359">
        <v>0</v>
      </c>
      <c r="X359">
        <v>0</v>
      </c>
      <c r="Y359" t="s">
        <v>119</v>
      </c>
    </row>
    <row r="360" spans="1:25" x14ac:dyDescent="0.35">
      <c r="A360">
        <v>3376</v>
      </c>
      <c r="B360" t="s">
        <v>139</v>
      </c>
      <c r="C360" t="s">
        <v>119</v>
      </c>
      <c r="D360" t="s">
        <v>232</v>
      </c>
      <c r="E360">
        <v>0</v>
      </c>
      <c r="F360">
        <v>1</v>
      </c>
      <c r="G360">
        <v>0</v>
      </c>
      <c r="H360" t="s">
        <v>297</v>
      </c>
      <c r="I360">
        <v>7</v>
      </c>
      <c r="J360">
        <v>0</v>
      </c>
      <c r="K360">
        <v>7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3</v>
      </c>
      <c r="W360">
        <v>0</v>
      </c>
      <c r="X360">
        <v>0</v>
      </c>
      <c r="Y360" t="s">
        <v>119</v>
      </c>
    </row>
    <row r="361" spans="1:25" x14ac:dyDescent="0.35">
      <c r="A361">
        <v>3377</v>
      </c>
      <c r="B361" t="s">
        <v>139</v>
      </c>
      <c r="C361" t="s">
        <v>119</v>
      </c>
      <c r="D361" t="s">
        <v>232</v>
      </c>
      <c r="E361">
        <v>0</v>
      </c>
      <c r="F361">
        <v>0</v>
      </c>
      <c r="G361">
        <v>1</v>
      </c>
      <c r="H361" t="s">
        <v>297</v>
      </c>
      <c r="I361">
        <v>7</v>
      </c>
      <c r="J361">
        <v>0</v>
      </c>
      <c r="K361">
        <v>7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2</v>
      </c>
      <c r="W361">
        <v>0</v>
      </c>
      <c r="X361">
        <v>0</v>
      </c>
      <c r="Y361" t="s">
        <v>119</v>
      </c>
    </row>
    <row r="362" spans="1:25" x14ac:dyDescent="0.35">
      <c r="A362">
        <v>3386</v>
      </c>
      <c r="B362" t="s">
        <v>139</v>
      </c>
      <c r="C362" t="s">
        <v>119</v>
      </c>
      <c r="D362" t="s">
        <v>232</v>
      </c>
      <c r="E362">
        <v>1</v>
      </c>
      <c r="F362">
        <v>0</v>
      </c>
      <c r="G362">
        <v>0</v>
      </c>
      <c r="H362" t="s">
        <v>297</v>
      </c>
      <c r="I362">
        <v>6</v>
      </c>
      <c r="J362">
        <v>1</v>
      </c>
      <c r="K362">
        <v>6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3</v>
      </c>
      <c r="W362">
        <v>0</v>
      </c>
      <c r="X362">
        <v>0</v>
      </c>
      <c r="Y362" t="s">
        <v>119</v>
      </c>
    </row>
    <row r="363" spans="1:25" x14ac:dyDescent="0.35">
      <c r="A363">
        <v>3492</v>
      </c>
      <c r="B363" t="s">
        <v>139</v>
      </c>
      <c r="C363" t="s">
        <v>119</v>
      </c>
      <c r="D363" t="s">
        <v>232</v>
      </c>
      <c r="E363">
        <v>1</v>
      </c>
      <c r="F363">
        <v>0</v>
      </c>
      <c r="G363">
        <v>0</v>
      </c>
      <c r="H363" t="s">
        <v>297</v>
      </c>
      <c r="I363">
        <v>8</v>
      </c>
      <c r="J363">
        <v>1</v>
      </c>
      <c r="K363">
        <v>8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1</v>
      </c>
      <c r="W363">
        <v>0</v>
      </c>
      <c r="X363">
        <v>0</v>
      </c>
      <c r="Y363" t="s">
        <v>119</v>
      </c>
    </row>
    <row r="364" spans="1:25" x14ac:dyDescent="0.35">
      <c r="A364">
        <v>3494</v>
      </c>
      <c r="B364" t="s">
        <v>139</v>
      </c>
      <c r="C364" t="s">
        <v>119</v>
      </c>
      <c r="D364" t="s">
        <v>232</v>
      </c>
      <c r="E364">
        <v>1</v>
      </c>
      <c r="F364">
        <v>0</v>
      </c>
      <c r="G364">
        <v>0</v>
      </c>
      <c r="H364" t="s">
        <v>297</v>
      </c>
      <c r="I364">
        <v>5</v>
      </c>
      <c r="J364">
        <v>4</v>
      </c>
      <c r="K364">
        <v>5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 t="s">
        <v>119</v>
      </c>
    </row>
    <row r="365" spans="1:25" x14ac:dyDescent="0.35">
      <c r="A365">
        <v>3513</v>
      </c>
      <c r="B365" t="s">
        <v>139</v>
      </c>
      <c r="C365" t="s">
        <v>13</v>
      </c>
      <c r="D365" t="s">
        <v>232</v>
      </c>
      <c r="E365">
        <v>1</v>
      </c>
      <c r="F365">
        <v>0</v>
      </c>
      <c r="G365">
        <v>0</v>
      </c>
      <c r="H365" t="s">
        <v>297</v>
      </c>
      <c r="I365">
        <v>6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3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0</v>
      </c>
      <c r="V365">
        <v>0</v>
      </c>
      <c r="W365">
        <v>0</v>
      </c>
      <c r="X365">
        <v>6</v>
      </c>
      <c r="Y365" t="s">
        <v>119</v>
      </c>
    </row>
    <row r="366" spans="1:25" x14ac:dyDescent="0.35">
      <c r="A366">
        <v>3516</v>
      </c>
      <c r="B366" t="s">
        <v>139</v>
      </c>
      <c r="C366" t="s">
        <v>13</v>
      </c>
      <c r="D366" t="s">
        <v>232</v>
      </c>
      <c r="E366">
        <v>1</v>
      </c>
      <c r="F366">
        <v>0</v>
      </c>
      <c r="G366">
        <v>0</v>
      </c>
      <c r="H366" t="s">
        <v>297</v>
      </c>
      <c r="I366">
        <v>6</v>
      </c>
      <c r="J366">
        <v>0</v>
      </c>
      <c r="K366">
        <v>2</v>
      </c>
      <c r="L366">
        <v>0</v>
      </c>
      <c r="M366">
        <v>2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6</v>
      </c>
      <c r="Y366" t="s">
        <v>119</v>
      </c>
    </row>
    <row r="367" spans="1:25" x14ac:dyDescent="0.35">
      <c r="A367">
        <v>3759</v>
      </c>
      <c r="B367" t="s">
        <v>139</v>
      </c>
      <c r="C367" t="s">
        <v>119</v>
      </c>
      <c r="D367" t="s">
        <v>232</v>
      </c>
      <c r="E367">
        <v>1</v>
      </c>
      <c r="F367">
        <v>0</v>
      </c>
      <c r="G367">
        <v>0</v>
      </c>
      <c r="H367" t="s">
        <v>297</v>
      </c>
      <c r="I367">
        <v>8</v>
      </c>
      <c r="J367">
        <v>0</v>
      </c>
      <c r="K367">
        <v>8</v>
      </c>
      <c r="L367">
        <v>0</v>
      </c>
      <c r="M367">
        <v>0</v>
      </c>
      <c r="N367">
        <v>1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 t="s">
        <v>119</v>
      </c>
    </row>
    <row r="368" spans="1:25" x14ac:dyDescent="0.35">
      <c r="A368">
        <v>3764</v>
      </c>
      <c r="B368" t="s">
        <v>139</v>
      </c>
      <c r="C368" t="s">
        <v>119</v>
      </c>
      <c r="D368" t="s">
        <v>232</v>
      </c>
      <c r="E368">
        <v>1</v>
      </c>
      <c r="F368">
        <v>0</v>
      </c>
      <c r="G368">
        <v>0</v>
      </c>
      <c r="H368" t="s">
        <v>297</v>
      </c>
      <c r="I368">
        <v>7</v>
      </c>
      <c r="J368">
        <v>0</v>
      </c>
      <c r="K368">
        <v>7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2</v>
      </c>
      <c r="W368">
        <v>0</v>
      </c>
      <c r="X368">
        <v>0</v>
      </c>
      <c r="Y368" t="s">
        <v>119</v>
      </c>
    </row>
    <row r="369" spans="1:25" x14ac:dyDescent="0.35">
      <c r="A369">
        <v>3766</v>
      </c>
      <c r="B369" t="s">
        <v>139</v>
      </c>
      <c r="C369" t="s">
        <v>119</v>
      </c>
      <c r="D369" t="s">
        <v>232</v>
      </c>
      <c r="E369">
        <v>1</v>
      </c>
      <c r="F369">
        <v>0</v>
      </c>
      <c r="G369">
        <v>0</v>
      </c>
      <c r="H369" t="s">
        <v>297</v>
      </c>
      <c r="I369">
        <v>8</v>
      </c>
      <c r="J369">
        <v>0</v>
      </c>
      <c r="K369">
        <v>8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1</v>
      </c>
      <c r="W369">
        <v>0</v>
      </c>
      <c r="X369">
        <v>0</v>
      </c>
      <c r="Y369" t="s">
        <v>119</v>
      </c>
    </row>
    <row r="370" spans="1:25" x14ac:dyDescent="0.35">
      <c r="A370">
        <v>3262</v>
      </c>
      <c r="B370" t="s">
        <v>152</v>
      </c>
      <c r="C370" t="s">
        <v>8</v>
      </c>
      <c r="D370" t="s">
        <v>208</v>
      </c>
      <c r="E370">
        <v>1</v>
      </c>
      <c r="F370">
        <v>0</v>
      </c>
      <c r="G370">
        <v>0</v>
      </c>
      <c r="H370" t="s">
        <v>297</v>
      </c>
      <c r="I370">
        <v>7</v>
      </c>
      <c r="J370">
        <v>0</v>
      </c>
      <c r="K370">
        <v>0</v>
      </c>
      <c r="L370">
        <v>0</v>
      </c>
      <c r="M370">
        <v>7</v>
      </c>
      <c r="N370">
        <v>2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1</v>
      </c>
      <c r="V370">
        <v>0</v>
      </c>
      <c r="W370">
        <v>0</v>
      </c>
      <c r="X370">
        <v>0</v>
      </c>
      <c r="Y370" t="s">
        <v>8</v>
      </c>
    </row>
    <row r="371" spans="1:25" x14ac:dyDescent="0.35">
      <c r="A371">
        <v>3270</v>
      </c>
      <c r="B371" t="s">
        <v>152</v>
      </c>
      <c r="C371" t="s">
        <v>8</v>
      </c>
      <c r="D371" t="s">
        <v>208</v>
      </c>
      <c r="E371">
        <v>1</v>
      </c>
      <c r="F371">
        <v>0</v>
      </c>
      <c r="G371">
        <v>0</v>
      </c>
      <c r="H371" t="s">
        <v>297</v>
      </c>
      <c r="I371">
        <v>6</v>
      </c>
      <c r="J371">
        <v>0</v>
      </c>
      <c r="K371">
        <v>0</v>
      </c>
      <c r="L371">
        <v>0</v>
      </c>
      <c r="M371">
        <v>6</v>
      </c>
      <c r="N371">
        <v>2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0</v>
      </c>
      <c r="W371">
        <v>0</v>
      </c>
      <c r="X371">
        <v>0</v>
      </c>
      <c r="Y371" t="s">
        <v>8</v>
      </c>
    </row>
    <row r="372" spans="1:25" x14ac:dyDescent="0.35">
      <c r="A372">
        <v>3313</v>
      </c>
      <c r="B372" t="s">
        <v>152</v>
      </c>
      <c r="C372" t="s">
        <v>8</v>
      </c>
      <c r="D372" t="s">
        <v>208</v>
      </c>
      <c r="E372">
        <v>1</v>
      </c>
      <c r="F372">
        <v>0</v>
      </c>
      <c r="G372">
        <v>0</v>
      </c>
      <c r="H372" t="s">
        <v>297</v>
      </c>
      <c r="I372">
        <v>6</v>
      </c>
      <c r="J372">
        <v>0</v>
      </c>
      <c r="K372">
        <v>3</v>
      </c>
      <c r="L372">
        <v>0</v>
      </c>
      <c r="M372">
        <v>6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0</v>
      </c>
      <c r="X372">
        <v>0</v>
      </c>
      <c r="Y372" t="s">
        <v>8</v>
      </c>
    </row>
    <row r="373" spans="1:25" x14ac:dyDescent="0.35">
      <c r="A373">
        <v>3325</v>
      </c>
      <c r="B373" t="s">
        <v>152</v>
      </c>
      <c r="C373" t="s">
        <v>8</v>
      </c>
      <c r="D373" t="s">
        <v>208</v>
      </c>
      <c r="E373">
        <v>1</v>
      </c>
      <c r="F373">
        <v>0</v>
      </c>
      <c r="G373">
        <v>0</v>
      </c>
      <c r="H373" t="s">
        <v>297</v>
      </c>
      <c r="I373">
        <v>5</v>
      </c>
      <c r="J373">
        <v>4</v>
      </c>
      <c r="K373">
        <v>0</v>
      </c>
      <c r="L373">
        <v>0</v>
      </c>
      <c r="M373">
        <v>5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 t="s">
        <v>8</v>
      </c>
    </row>
    <row r="374" spans="1:25" x14ac:dyDescent="0.35">
      <c r="A374">
        <v>3334</v>
      </c>
      <c r="B374" t="s">
        <v>152</v>
      </c>
      <c r="C374" t="s">
        <v>8</v>
      </c>
      <c r="D374" t="s">
        <v>208</v>
      </c>
      <c r="E374">
        <v>0</v>
      </c>
      <c r="F374">
        <v>0</v>
      </c>
      <c r="G374">
        <v>0</v>
      </c>
      <c r="H374" t="s">
        <v>297</v>
      </c>
      <c r="I374">
        <v>7</v>
      </c>
      <c r="J374">
        <v>0</v>
      </c>
      <c r="K374">
        <v>0</v>
      </c>
      <c r="L374">
        <v>0</v>
      </c>
      <c r="M374">
        <v>7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1</v>
      </c>
      <c r="T374">
        <v>2</v>
      </c>
      <c r="U374">
        <v>0</v>
      </c>
      <c r="V374">
        <v>0</v>
      </c>
      <c r="W374">
        <v>0</v>
      </c>
      <c r="X374">
        <v>0</v>
      </c>
      <c r="Y374" t="s">
        <v>8</v>
      </c>
    </row>
    <row r="375" spans="1:25" x14ac:dyDescent="0.35">
      <c r="A375">
        <v>3389</v>
      </c>
      <c r="B375" t="s">
        <v>152</v>
      </c>
      <c r="C375" t="s">
        <v>8</v>
      </c>
      <c r="D375" t="s">
        <v>208</v>
      </c>
      <c r="E375">
        <v>1</v>
      </c>
      <c r="F375">
        <v>0</v>
      </c>
      <c r="G375">
        <v>0</v>
      </c>
      <c r="H375" t="s">
        <v>297</v>
      </c>
      <c r="I375">
        <v>6</v>
      </c>
      <c r="J375">
        <v>0</v>
      </c>
      <c r="K375">
        <v>3</v>
      </c>
      <c r="L375">
        <v>0</v>
      </c>
      <c r="M375">
        <v>6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1</v>
      </c>
      <c r="T375">
        <v>0</v>
      </c>
      <c r="U375">
        <v>0</v>
      </c>
      <c r="V375">
        <v>0</v>
      </c>
      <c r="W375">
        <v>0</v>
      </c>
      <c r="X375">
        <v>0</v>
      </c>
      <c r="Y375" t="s">
        <v>8</v>
      </c>
    </row>
    <row r="376" spans="1:25" x14ac:dyDescent="0.35">
      <c r="A376">
        <v>3390</v>
      </c>
      <c r="B376" t="s">
        <v>152</v>
      </c>
      <c r="C376" t="s">
        <v>8</v>
      </c>
      <c r="D376" t="s">
        <v>208</v>
      </c>
      <c r="E376">
        <v>1</v>
      </c>
      <c r="F376">
        <v>0</v>
      </c>
      <c r="G376">
        <v>0</v>
      </c>
      <c r="H376" t="s">
        <v>297</v>
      </c>
      <c r="I376">
        <v>5</v>
      </c>
      <c r="J376">
        <v>0</v>
      </c>
      <c r="K376">
        <v>0</v>
      </c>
      <c r="L376">
        <v>0</v>
      </c>
      <c r="M376">
        <v>5</v>
      </c>
      <c r="N376">
        <v>0</v>
      </c>
      <c r="O376">
        <v>0</v>
      </c>
      <c r="P376">
        <v>2</v>
      </c>
      <c r="Q376">
        <v>0</v>
      </c>
      <c r="R376">
        <v>0</v>
      </c>
      <c r="S376">
        <v>0</v>
      </c>
      <c r="T376">
        <v>3</v>
      </c>
      <c r="U376">
        <v>0</v>
      </c>
      <c r="V376">
        <v>0</v>
      </c>
      <c r="W376">
        <v>0</v>
      </c>
      <c r="X376">
        <v>0</v>
      </c>
      <c r="Y376" t="s">
        <v>8</v>
      </c>
    </row>
    <row r="377" spans="1:25" x14ac:dyDescent="0.35">
      <c r="A377">
        <v>3400</v>
      </c>
      <c r="B377" t="s">
        <v>152</v>
      </c>
      <c r="C377" t="s">
        <v>8</v>
      </c>
      <c r="D377" t="s">
        <v>208</v>
      </c>
      <c r="E377">
        <v>0</v>
      </c>
      <c r="F377">
        <v>0</v>
      </c>
      <c r="G377">
        <v>0</v>
      </c>
      <c r="H377" t="s">
        <v>297</v>
      </c>
      <c r="I377">
        <v>7</v>
      </c>
      <c r="J377">
        <v>1</v>
      </c>
      <c r="K377">
        <v>0</v>
      </c>
      <c r="L377">
        <v>0</v>
      </c>
      <c r="M377">
        <v>7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2</v>
      </c>
      <c r="U377">
        <v>0</v>
      </c>
      <c r="V377">
        <v>0</v>
      </c>
      <c r="W377">
        <v>0</v>
      </c>
      <c r="X377">
        <v>0</v>
      </c>
      <c r="Y377" t="s">
        <v>8</v>
      </c>
    </row>
    <row r="378" spans="1:25" x14ac:dyDescent="0.35">
      <c r="A378">
        <v>3404</v>
      </c>
      <c r="B378" t="s">
        <v>152</v>
      </c>
      <c r="C378" t="s">
        <v>8</v>
      </c>
      <c r="D378" t="s">
        <v>208</v>
      </c>
      <c r="E378">
        <v>0</v>
      </c>
      <c r="F378">
        <v>0</v>
      </c>
      <c r="G378">
        <v>0</v>
      </c>
      <c r="H378" t="s">
        <v>297</v>
      </c>
      <c r="I378">
        <v>5</v>
      </c>
      <c r="J378">
        <v>2</v>
      </c>
      <c r="K378">
        <v>0</v>
      </c>
      <c r="L378">
        <v>0</v>
      </c>
      <c r="M378">
        <v>5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3</v>
      </c>
      <c r="U378">
        <v>0</v>
      </c>
      <c r="V378">
        <v>0</v>
      </c>
      <c r="W378">
        <v>0</v>
      </c>
      <c r="X378">
        <v>0</v>
      </c>
      <c r="Y378" t="s">
        <v>8</v>
      </c>
    </row>
    <row r="379" spans="1:25" x14ac:dyDescent="0.35">
      <c r="A379">
        <v>3408</v>
      </c>
      <c r="B379" t="s">
        <v>152</v>
      </c>
      <c r="C379" t="s">
        <v>8</v>
      </c>
      <c r="D379" t="s">
        <v>208</v>
      </c>
      <c r="E379">
        <v>0</v>
      </c>
      <c r="F379">
        <v>0</v>
      </c>
      <c r="G379">
        <v>0</v>
      </c>
      <c r="H379" t="s">
        <v>297</v>
      </c>
      <c r="I379">
        <v>5</v>
      </c>
      <c r="J379">
        <v>0</v>
      </c>
      <c r="K379">
        <v>0</v>
      </c>
      <c r="L379">
        <v>0</v>
      </c>
      <c r="M379">
        <v>5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1</v>
      </c>
      <c r="T379">
        <v>4</v>
      </c>
      <c r="U379">
        <v>0</v>
      </c>
      <c r="V379">
        <v>0</v>
      </c>
      <c r="W379">
        <v>0</v>
      </c>
      <c r="X379">
        <v>0</v>
      </c>
      <c r="Y379" t="s">
        <v>8</v>
      </c>
    </row>
    <row r="380" spans="1:25" x14ac:dyDescent="0.35">
      <c r="A380">
        <v>3560</v>
      </c>
      <c r="B380" t="s">
        <v>152</v>
      </c>
      <c r="C380" t="s">
        <v>8</v>
      </c>
      <c r="D380" t="s">
        <v>208</v>
      </c>
      <c r="E380">
        <v>1</v>
      </c>
      <c r="F380">
        <v>0</v>
      </c>
      <c r="G380">
        <v>0</v>
      </c>
      <c r="H380" t="s">
        <v>297</v>
      </c>
      <c r="I380">
        <v>6</v>
      </c>
      <c r="J380">
        <v>0</v>
      </c>
      <c r="K380">
        <v>0</v>
      </c>
      <c r="L380">
        <v>0</v>
      </c>
      <c r="M380">
        <v>6</v>
      </c>
      <c r="N380">
        <v>0</v>
      </c>
      <c r="O380">
        <v>0</v>
      </c>
      <c r="P380">
        <v>0</v>
      </c>
      <c r="Q380">
        <v>2</v>
      </c>
      <c r="R380">
        <v>0</v>
      </c>
      <c r="S380">
        <v>2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8</v>
      </c>
    </row>
    <row r="381" spans="1:25" x14ac:dyDescent="0.35">
      <c r="A381">
        <v>3566</v>
      </c>
      <c r="B381" t="s">
        <v>152</v>
      </c>
      <c r="C381" t="s">
        <v>8</v>
      </c>
      <c r="D381" t="s">
        <v>208</v>
      </c>
      <c r="E381">
        <v>0</v>
      </c>
      <c r="F381">
        <v>0</v>
      </c>
      <c r="G381">
        <v>0</v>
      </c>
      <c r="H381" t="s">
        <v>297</v>
      </c>
      <c r="I381">
        <v>7</v>
      </c>
      <c r="J381">
        <v>0</v>
      </c>
      <c r="K381">
        <v>0</v>
      </c>
      <c r="L381">
        <v>2</v>
      </c>
      <c r="M381">
        <v>7</v>
      </c>
      <c r="N381">
        <v>0</v>
      </c>
      <c r="O381">
        <v>0</v>
      </c>
      <c r="P381">
        <v>0</v>
      </c>
      <c r="Q381">
        <v>0</v>
      </c>
      <c r="R381">
        <v>1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8</v>
      </c>
    </row>
    <row r="382" spans="1:25" x14ac:dyDescent="0.35">
      <c r="A382">
        <v>3576</v>
      </c>
      <c r="B382" t="s">
        <v>152</v>
      </c>
      <c r="C382" t="s">
        <v>8</v>
      </c>
      <c r="D382" t="s">
        <v>208</v>
      </c>
      <c r="E382">
        <v>1</v>
      </c>
      <c r="F382">
        <v>0</v>
      </c>
      <c r="G382">
        <v>0</v>
      </c>
      <c r="H382" t="s">
        <v>297</v>
      </c>
      <c r="I382">
        <v>8</v>
      </c>
      <c r="J382">
        <v>0</v>
      </c>
      <c r="K382">
        <v>0</v>
      </c>
      <c r="L382">
        <v>0</v>
      </c>
      <c r="M382">
        <v>8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0</v>
      </c>
      <c r="W382">
        <v>0</v>
      </c>
      <c r="X382">
        <v>1</v>
      </c>
      <c r="Y382" t="s">
        <v>8</v>
      </c>
    </row>
    <row r="383" spans="1:25" x14ac:dyDescent="0.35">
      <c r="A383">
        <v>3578</v>
      </c>
      <c r="B383" t="s">
        <v>152</v>
      </c>
      <c r="C383" t="s">
        <v>8</v>
      </c>
      <c r="D383" t="s">
        <v>208</v>
      </c>
      <c r="E383">
        <v>1</v>
      </c>
      <c r="F383">
        <v>0</v>
      </c>
      <c r="G383">
        <v>0</v>
      </c>
      <c r="H383" t="s">
        <v>297</v>
      </c>
      <c r="I383">
        <v>6</v>
      </c>
      <c r="J383">
        <v>2</v>
      </c>
      <c r="K383">
        <v>2</v>
      </c>
      <c r="L383">
        <v>0</v>
      </c>
      <c r="M383">
        <v>6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 t="s">
        <v>8</v>
      </c>
    </row>
    <row r="384" spans="1:25" x14ac:dyDescent="0.35">
      <c r="A384">
        <v>3579</v>
      </c>
      <c r="B384" t="s">
        <v>152</v>
      </c>
      <c r="C384" t="s">
        <v>8</v>
      </c>
      <c r="D384" t="s">
        <v>208</v>
      </c>
      <c r="E384">
        <v>1</v>
      </c>
      <c r="F384">
        <v>0</v>
      </c>
      <c r="G384">
        <v>0</v>
      </c>
      <c r="H384" t="s">
        <v>297</v>
      </c>
      <c r="I384">
        <v>5</v>
      </c>
      <c r="J384">
        <v>3</v>
      </c>
      <c r="K384">
        <v>2</v>
      </c>
      <c r="L384">
        <v>0</v>
      </c>
      <c r="M384">
        <v>5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 t="s">
        <v>8</v>
      </c>
    </row>
    <row r="385" spans="1:25" x14ac:dyDescent="0.35">
      <c r="A385">
        <v>3170</v>
      </c>
      <c r="B385" t="s">
        <v>169</v>
      </c>
      <c r="C385" t="s">
        <v>8</v>
      </c>
      <c r="D385" t="s">
        <v>293</v>
      </c>
      <c r="E385">
        <v>1</v>
      </c>
      <c r="F385">
        <v>0</v>
      </c>
      <c r="G385">
        <v>0</v>
      </c>
      <c r="H385" t="s">
        <v>297</v>
      </c>
      <c r="I385">
        <v>6</v>
      </c>
      <c r="J385">
        <v>3</v>
      </c>
      <c r="K385">
        <v>0</v>
      </c>
      <c r="L385">
        <v>0</v>
      </c>
      <c r="M385">
        <v>6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1</v>
      </c>
      <c r="X385">
        <v>0</v>
      </c>
      <c r="Y385" t="s">
        <v>8</v>
      </c>
    </row>
    <row r="386" spans="1:25" x14ac:dyDescent="0.35">
      <c r="A386">
        <v>3256</v>
      </c>
      <c r="B386" t="s">
        <v>169</v>
      </c>
      <c r="C386" t="s">
        <v>8</v>
      </c>
      <c r="D386" t="s">
        <v>293</v>
      </c>
      <c r="E386">
        <v>0</v>
      </c>
      <c r="F386">
        <v>0</v>
      </c>
      <c r="G386">
        <v>1</v>
      </c>
      <c r="H386" t="s">
        <v>297</v>
      </c>
      <c r="I386">
        <v>5</v>
      </c>
      <c r="J386">
        <v>0</v>
      </c>
      <c r="K386">
        <v>0</v>
      </c>
      <c r="L386">
        <v>0</v>
      </c>
      <c r="M386">
        <v>5</v>
      </c>
      <c r="N386">
        <v>0</v>
      </c>
      <c r="O386">
        <v>0</v>
      </c>
      <c r="P386">
        <v>0</v>
      </c>
      <c r="Q386">
        <v>5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 t="s">
        <v>8</v>
      </c>
    </row>
    <row r="387" spans="1:25" x14ac:dyDescent="0.35">
      <c r="A387">
        <v>3259</v>
      </c>
      <c r="B387" t="s">
        <v>169</v>
      </c>
      <c r="C387" t="s">
        <v>8</v>
      </c>
      <c r="D387" t="s">
        <v>293</v>
      </c>
      <c r="E387">
        <v>0</v>
      </c>
      <c r="F387">
        <v>0</v>
      </c>
      <c r="G387">
        <v>0</v>
      </c>
      <c r="H387" t="s">
        <v>297</v>
      </c>
      <c r="I387">
        <v>8</v>
      </c>
      <c r="J387">
        <v>0</v>
      </c>
      <c r="K387">
        <v>0</v>
      </c>
      <c r="L387">
        <v>0</v>
      </c>
      <c r="M387">
        <v>8</v>
      </c>
      <c r="N387">
        <v>1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1</v>
      </c>
      <c r="Y387" t="s">
        <v>8</v>
      </c>
    </row>
    <row r="388" spans="1:25" x14ac:dyDescent="0.35">
      <c r="A388">
        <v>3260</v>
      </c>
      <c r="B388" t="s">
        <v>169</v>
      </c>
      <c r="C388" t="s">
        <v>8</v>
      </c>
      <c r="D388" t="s">
        <v>293</v>
      </c>
      <c r="E388">
        <v>1</v>
      </c>
      <c r="F388">
        <v>0</v>
      </c>
      <c r="G388">
        <v>0</v>
      </c>
      <c r="H388" t="s">
        <v>297</v>
      </c>
      <c r="I388">
        <v>6</v>
      </c>
      <c r="J388">
        <v>0</v>
      </c>
      <c r="K388">
        <v>0</v>
      </c>
      <c r="L388">
        <v>0</v>
      </c>
      <c r="M388">
        <v>6</v>
      </c>
      <c r="N388">
        <v>3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 t="s">
        <v>8</v>
      </c>
    </row>
    <row r="389" spans="1:25" x14ac:dyDescent="0.35">
      <c r="A389">
        <v>3261</v>
      </c>
      <c r="B389" t="s">
        <v>169</v>
      </c>
      <c r="C389" t="s">
        <v>8</v>
      </c>
      <c r="D389" t="s">
        <v>293</v>
      </c>
      <c r="E389">
        <v>1</v>
      </c>
      <c r="F389">
        <v>0</v>
      </c>
      <c r="G389">
        <v>0</v>
      </c>
      <c r="H389" t="s">
        <v>297</v>
      </c>
      <c r="I389">
        <v>7</v>
      </c>
      <c r="J389">
        <v>0</v>
      </c>
      <c r="K389">
        <v>1</v>
      </c>
      <c r="L389">
        <v>0</v>
      </c>
      <c r="M389">
        <v>7</v>
      </c>
      <c r="N389">
        <v>2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 t="s">
        <v>8</v>
      </c>
    </row>
    <row r="390" spans="1:25" x14ac:dyDescent="0.35">
      <c r="A390">
        <v>3318</v>
      </c>
      <c r="B390" t="s">
        <v>169</v>
      </c>
      <c r="C390" t="s">
        <v>8</v>
      </c>
      <c r="D390" t="s">
        <v>293</v>
      </c>
      <c r="E390">
        <v>1</v>
      </c>
      <c r="F390">
        <v>0</v>
      </c>
      <c r="G390">
        <v>0</v>
      </c>
      <c r="H390" t="s">
        <v>297</v>
      </c>
      <c r="I390">
        <v>5</v>
      </c>
      <c r="J390">
        <v>0</v>
      </c>
      <c r="K390">
        <v>5</v>
      </c>
      <c r="L390">
        <v>0</v>
      </c>
      <c r="M390">
        <v>5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 t="s">
        <v>8</v>
      </c>
    </row>
    <row r="391" spans="1:25" x14ac:dyDescent="0.35">
      <c r="A391">
        <v>3327</v>
      </c>
      <c r="B391" t="s">
        <v>169</v>
      </c>
      <c r="C391" t="s">
        <v>8</v>
      </c>
      <c r="D391" t="s">
        <v>293</v>
      </c>
      <c r="E391">
        <v>1</v>
      </c>
      <c r="F391">
        <v>0</v>
      </c>
      <c r="G391">
        <v>0</v>
      </c>
      <c r="H391" t="s">
        <v>297</v>
      </c>
      <c r="I391">
        <v>8</v>
      </c>
      <c r="J391">
        <v>0</v>
      </c>
      <c r="K391">
        <v>0</v>
      </c>
      <c r="L391">
        <v>0</v>
      </c>
      <c r="M391">
        <v>8</v>
      </c>
      <c r="N391">
        <v>1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1</v>
      </c>
      <c r="W391">
        <v>0</v>
      </c>
      <c r="X391">
        <v>0</v>
      </c>
      <c r="Y391" t="s">
        <v>8</v>
      </c>
    </row>
    <row r="392" spans="1:25" x14ac:dyDescent="0.35">
      <c r="A392">
        <v>3332</v>
      </c>
      <c r="B392" t="s">
        <v>169</v>
      </c>
      <c r="C392" t="s">
        <v>8</v>
      </c>
      <c r="D392" t="s">
        <v>293</v>
      </c>
      <c r="E392">
        <v>1</v>
      </c>
      <c r="F392">
        <v>1</v>
      </c>
      <c r="G392">
        <v>0</v>
      </c>
      <c r="H392" t="s">
        <v>297</v>
      </c>
      <c r="I392">
        <v>6</v>
      </c>
      <c r="J392">
        <v>0</v>
      </c>
      <c r="K392">
        <v>0</v>
      </c>
      <c r="L392">
        <v>0</v>
      </c>
      <c r="M392">
        <v>6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3</v>
      </c>
      <c r="T392">
        <v>0</v>
      </c>
      <c r="U392">
        <v>0</v>
      </c>
      <c r="V392">
        <v>0</v>
      </c>
      <c r="W392">
        <v>0</v>
      </c>
      <c r="X392">
        <v>1</v>
      </c>
      <c r="Y392" t="s">
        <v>8</v>
      </c>
    </row>
    <row r="393" spans="1:25" x14ac:dyDescent="0.35">
      <c r="A393">
        <v>3337</v>
      </c>
      <c r="B393" t="s">
        <v>169</v>
      </c>
      <c r="C393" t="s">
        <v>8</v>
      </c>
      <c r="D393" t="s">
        <v>293</v>
      </c>
      <c r="E393">
        <v>1</v>
      </c>
      <c r="F393">
        <v>0</v>
      </c>
      <c r="G393">
        <v>0</v>
      </c>
      <c r="H393" t="s">
        <v>297</v>
      </c>
      <c r="I393">
        <v>8</v>
      </c>
      <c r="J393">
        <v>1</v>
      </c>
      <c r="K393">
        <v>1</v>
      </c>
      <c r="L393">
        <v>0</v>
      </c>
      <c r="M393">
        <v>8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 t="s">
        <v>8</v>
      </c>
    </row>
    <row r="394" spans="1:25" x14ac:dyDescent="0.35">
      <c r="A394">
        <v>3342</v>
      </c>
      <c r="B394" t="s">
        <v>169</v>
      </c>
      <c r="C394" t="s">
        <v>8</v>
      </c>
      <c r="D394" t="s">
        <v>293</v>
      </c>
      <c r="E394">
        <v>1</v>
      </c>
      <c r="F394">
        <v>1</v>
      </c>
      <c r="G394">
        <v>0</v>
      </c>
      <c r="H394" t="s">
        <v>297</v>
      </c>
      <c r="I394">
        <v>7</v>
      </c>
      <c r="J394">
        <v>1</v>
      </c>
      <c r="K394">
        <v>2</v>
      </c>
      <c r="L394">
        <v>0</v>
      </c>
      <c r="M394">
        <v>7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 t="s">
        <v>8</v>
      </c>
    </row>
    <row r="395" spans="1:25" x14ac:dyDescent="0.35">
      <c r="A395">
        <v>3345</v>
      </c>
      <c r="B395" t="s">
        <v>169</v>
      </c>
      <c r="C395" t="s">
        <v>8</v>
      </c>
      <c r="D395" t="s">
        <v>293</v>
      </c>
      <c r="E395">
        <v>0</v>
      </c>
      <c r="F395">
        <v>0</v>
      </c>
      <c r="G395">
        <v>0</v>
      </c>
      <c r="H395" t="s">
        <v>297</v>
      </c>
      <c r="I395">
        <v>8</v>
      </c>
      <c r="J395">
        <v>0</v>
      </c>
      <c r="K395">
        <v>0</v>
      </c>
      <c r="L395">
        <v>0</v>
      </c>
      <c r="M395">
        <v>8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1</v>
      </c>
      <c r="T395">
        <v>0</v>
      </c>
      <c r="U395">
        <v>1</v>
      </c>
      <c r="V395">
        <v>0</v>
      </c>
      <c r="W395">
        <v>0</v>
      </c>
      <c r="X395">
        <v>0</v>
      </c>
      <c r="Y395" t="s">
        <v>8</v>
      </c>
    </row>
    <row r="396" spans="1:25" x14ac:dyDescent="0.35">
      <c r="A396">
        <v>3397</v>
      </c>
      <c r="B396" t="s">
        <v>169</v>
      </c>
      <c r="C396" t="s">
        <v>8</v>
      </c>
      <c r="D396" t="s">
        <v>293</v>
      </c>
      <c r="E396">
        <v>0</v>
      </c>
      <c r="F396">
        <v>1</v>
      </c>
      <c r="G396">
        <v>0</v>
      </c>
      <c r="H396" t="s">
        <v>297</v>
      </c>
      <c r="I396">
        <v>6</v>
      </c>
      <c r="J396">
        <v>0</v>
      </c>
      <c r="K396">
        <v>0</v>
      </c>
      <c r="L396">
        <v>0</v>
      </c>
      <c r="M396">
        <v>6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1</v>
      </c>
      <c r="T396">
        <v>3</v>
      </c>
      <c r="U396">
        <v>0</v>
      </c>
      <c r="V396">
        <v>0</v>
      </c>
      <c r="W396">
        <v>0</v>
      </c>
      <c r="X396">
        <v>0</v>
      </c>
      <c r="Y396" t="s">
        <v>8</v>
      </c>
    </row>
    <row r="397" spans="1:25" x14ac:dyDescent="0.35">
      <c r="A397">
        <v>3555</v>
      </c>
      <c r="B397" t="s">
        <v>169</v>
      </c>
      <c r="C397" t="s">
        <v>8</v>
      </c>
      <c r="D397" t="s">
        <v>293</v>
      </c>
      <c r="E397">
        <v>1</v>
      </c>
      <c r="F397">
        <v>0</v>
      </c>
      <c r="G397">
        <v>0</v>
      </c>
      <c r="H397" t="s">
        <v>297</v>
      </c>
      <c r="I397">
        <v>8</v>
      </c>
      <c r="J397">
        <v>0</v>
      </c>
      <c r="K397">
        <v>0</v>
      </c>
      <c r="L397">
        <v>0</v>
      </c>
      <c r="M397">
        <v>8</v>
      </c>
      <c r="N397">
        <v>0</v>
      </c>
      <c r="O397">
        <v>0</v>
      </c>
      <c r="P397">
        <v>1</v>
      </c>
      <c r="Q397">
        <v>0</v>
      </c>
      <c r="R397">
        <v>0</v>
      </c>
      <c r="S397">
        <v>0</v>
      </c>
      <c r="T397">
        <v>0</v>
      </c>
      <c r="U397">
        <v>1</v>
      </c>
      <c r="V397">
        <v>0</v>
      </c>
      <c r="W397">
        <v>0</v>
      </c>
      <c r="X397">
        <v>0</v>
      </c>
      <c r="Y397" t="s">
        <v>8</v>
      </c>
    </row>
    <row r="398" spans="1:25" x14ac:dyDescent="0.35">
      <c r="A398">
        <v>3558</v>
      </c>
      <c r="B398" t="s">
        <v>169</v>
      </c>
      <c r="C398" t="s">
        <v>8</v>
      </c>
      <c r="D398" t="s">
        <v>293</v>
      </c>
      <c r="E398">
        <v>0</v>
      </c>
      <c r="F398">
        <v>0</v>
      </c>
      <c r="G398">
        <v>0</v>
      </c>
      <c r="H398" t="s">
        <v>297</v>
      </c>
      <c r="I398">
        <v>7</v>
      </c>
      <c r="J398">
        <v>0</v>
      </c>
      <c r="K398">
        <v>2</v>
      </c>
      <c r="L398">
        <v>0</v>
      </c>
      <c r="M398">
        <v>7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 t="s">
        <v>8</v>
      </c>
    </row>
    <row r="399" spans="1:25" x14ac:dyDescent="0.35">
      <c r="A399">
        <v>3561</v>
      </c>
      <c r="B399" t="s">
        <v>169</v>
      </c>
      <c r="C399" t="s">
        <v>8</v>
      </c>
      <c r="D399" t="s">
        <v>293</v>
      </c>
      <c r="E399">
        <v>0</v>
      </c>
      <c r="F399">
        <v>0</v>
      </c>
      <c r="G399">
        <v>0</v>
      </c>
      <c r="H399" t="s">
        <v>297</v>
      </c>
      <c r="I399">
        <v>6</v>
      </c>
      <c r="J399">
        <v>1</v>
      </c>
      <c r="K399">
        <v>3</v>
      </c>
      <c r="L399">
        <v>0</v>
      </c>
      <c r="M399">
        <v>6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 t="s">
        <v>8</v>
      </c>
    </row>
    <row r="400" spans="1:25" x14ac:dyDescent="0.35">
      <c r="A400">
        <v>3562</v>
      </c>
      <c r="B400" t="s">
        <v>169</v>
      </c>
      <c r="C400" t="s">
        <v>8</v>
      </c>
      <c r="D400" t="s">
        <v>293</v>
      </c>
      <c r="E400">
        <v>0</v>
      </c>
      <c r="F400">
        <v>0</v>
      </c>
      <c r="G400">
        <v>0</v>
      </c>
      <c r="H400" t="s">
        <v>297</v>
      </c>
      <c r="I400">
        <v>7</v>
      </c>
      <c r="J400">
        <v>0</v>
      </c>
      <c r="K400">
        <v>0</v>
      </c>
      <c r="L400">
        <v>0</v>
      </c>
      <c r="M400">
        <v>7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1</v>
      </c>
      <c r="T400">
        <v>2</v>
      </c>
      <c r="U400">
        <v>0</v>
      </c>
      <c r="V400">
        <v>0</v>
      </c>
      <c r="W400">
        <v>0</v>
      </c>
      <c r="X400">
        <v>0</v>
      </c>
      <c r="Y400" t="s">
        <v>8</v>
      </c>
    </row>
    <row r="401" spans="1:25" x14ac:dyDescent="0.35">
      <c r="A401">
        <v>3565</v>
      </c>
      <c r="B401" t="s">
        <v>169</v>
      </c>
      <c r="C401" t="s">
        <v>8</v>
      </c>
      <c r="D401" t="s">
        <v>293</v>
      </c>
      <c r="E401">
        <v>0</v>
      </c>
      <c r="F401">
        <v>0</v>
      </c>
      <c r="G401">
        <v>0</v>
      </c>
      <c r="H401" t="s">
        <v>297</v>
      </c>
      <c r="I401">
        <v>8</v>
      </c>
      <c r="J401">
        <v>0</v>
      </c>
      <c r="K401">
        <v>0</v>
      </c>
      <c r="L401">
        <v>0</v>
      </c>
      <c r="M401">
        <v>8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1</v>
      </c>
      <c r="T401">
        <v>0</v>
      </c>
      <c r="U401">
        <v>0</v>
      </c>
      <c r="V401">
        <v>0</v>
      </c>
      <c r="W401">
        <v>0</v>
      </c>
      <c r="X401">
        <v>0</v>
      </c>
      <c r="Y401" t="s">
        <v>8</v>
      </c>
    </row>
    <row r="402" spans="1:25" x14ac:dyDescent="0.35">
      <c r="A402">
        <v>3575</v>
      </c>
      <c r="B402" t="s">
        <v>169</v>
      </c>
      <c r="C402" t="s">
        <v>8</v>
      </c>
      <c r="D402" t="s">
        <v>293</v>
      </c>
      <c r="E402">
        <v>1</v>
      </c>
      <c r="F402">
        <v>0</v>
      </c>
      <c r="G402">
        <v>0</v>
      </c>
      <c r="H402" t="s">
        <v>297</v>
      </c>
      <c r="I402">
        <v>8</v>
      </c>
      <c r="J402">
        <v>1</v>
      </c>
      <c r="K402">
        <v>1</v>
      </c>
      <c r="L402">
        <v>0</v>
      </c>
      <c r="M402">
        <v>8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 t="s">
        <v>8</v>
      </c>
    </row>
    <row r="403" spans="1:25" x14ac:dyDescent="0.35">
      <c r="A403">
        <v>3577</v>
      </c>
      <c r="B403" t="s">
        <v>169</v>
      </c>
      <c r="C403" t="s">
        <v>8</v>
      </c>
      <c r="D403" t="s">
        <v>293</v>
      </c>
      <c r="E403">
        <v>1</v>
      </c>
      <c r="F403">
        <v>0</v>
      </c>
      <c r="G403">
        <v>1</v>
      </c>
      <c r="H403" t="s">
        <v>297</v>
      </c>
      <c r="I403">
        <v>5</v>
      </c>
      <c r="J403">
        <v>0</v>
      </c>
      <c r="K403">
        <v>3</v>
      </c>
      <c r="L403">
        <v>0</v>
      </c>
      <c r="M403">
        <v>5</v>
      </c>
      <c r="N403">
        <v>0</v>
      </c>
      <c r="O403">
        <v>2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 t="s">
        <v>8</v>
      </c>
    </row>
    <row r="404" spans="1:25" x14ac:dyDescent="0.35">
      <c r="A404">
        <v>3083</v>
      </c>
      <c r="B404" t="s">
        <v>132</v>
      </c>
      <c r="C404" t="s">
        <v>3</v>
      </c>
      <c r="D404" t="s">
        <v>292</v>
      </c>
      <c r="E404">
        <v>0</v>
      </c>
      <c r="F404">
        <v>1</v>
      </c>
      <c r="G404">
        <v>0</v>
      </c>
      <c r="H404" t="s">
        <v>297</v>
      </c>
      <c r="I404">
        <v>7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7</v>
      </c>
      <c r="T404">
        <v>1</v>
      </c>
      <c r="U404">
        <v>0</v>
      </c>
      <c r="V404">
        <v>0</v>
      </c>
      <c r="W404">
        <v>0</v>
      </c>
      <c r="X404">
        <v>2</v>
      </c>
      <c r="Y404" t="s">
        <v>119</v>
      </c>
    </row>
    <row r="405" spans="1:25" x14ac:dyDescent="0.35">
      <c r="A405">
        <v>3084</v>
      </c>
      <c r="B405" t="s">
        <v>132</v>
      </c>
      <c r="C405" t="s">
        <v>3</v>
      </c>
      <c r="D405" t="s">
        <v>292</v>
      </c>
      <c r="E405">
        <v>0</v>
      </c>
      <c r="F405">
        <v>0</v>
      </c>
      <c r="G405">
        <v>0</v>
      </c>
      <c r="H405" t="s">
        <v>297</v>
      </c>
      <c r="I405">
        <v>6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2</v>
      </c>
      <c r="P405">
        <v>0</v>
      </c>
      <c r="Q405">
        <v>0</v>
      </c>
      <c r="R405">
        <v>0</v>
      </c>
      <c r="S405">
        <v>6</v>
      </c>
      <c r="T405">
        <v>0</v>
      </c>
      <c r="U405">
        <v>2</v>
      </c>
      <c r="V405">
        <v>0</v>
      </c>
      <c r="W405">
        <v>0</v>
      </c>
      <c r="X405">
        <v>0</v>
      </c>
      <c r="Y405" t="s">
        <v>119</v>
      </c>
    </row>
    <row r="406" spans="1:25" x14ac:dyDescent="0.35">
      <c r="A406">
        <v>3152</v>
      </c>
      <c r="B406" t="s">
        <v>132</v>
      </c>
      <c r="C406" t="s">
        <v>3</v>
      </c>
      <c r="D406" t="s">
        <v>292</v>
      </c>
      <c r="E406">
        <v>0</v>
      </c>
      <c r="F406">
        <v>0</v>
      </c>
      <c r="G406">
        <v>1</v>
      </c>
      <c r="H406" t="s">
        <v>297</v>
      </c>
      <c r="I406">
        <v>6</v>
      </c>
      <c r="J406">
        <v>0</v>
      </c>
      <c r="K406">
        <v>0</v>
      </c>
      <c r="L406">
        <v>2</v>
      </c>
      <c r="M406">
        <v>0</v>
      </c>
      <c r="N406">
        <v>2</v>
      </c>
      <c r="O406">
        <v>0</v>
      </c>
      <c r="P406">
        <v>0</v>
      </c>
      <c r="Q406">
        <v>0</v>
      </c>
      <c r="R406">
        <v>0</v>
      </c>
      <c r="S406">
        <v>6</v>
      </c>
      <c r="T406">
        <v>0</v>
      </c>
      <c r="U406">
        <v>0</v>
      </c>
      <c r="V406">
        <v>0</v>
      </c>
      <c r="W406">
        <v>0</v>
      </c>
      <c r="X406">
        <v>0</v>
      </c>
      <c r="Y406" t="s">
        <v>119</v>
      </c>
    </row>
    <row r="407" spans="1:25" x14ac:dyDescent="0.35">
      <c r="A407">
        <v>3180</v>
      </c>
      <c r="B407" t="s">
        <v>132</v>
      </c>
      <c r="C407" t="s">
        <v>119</v>
      </c>
      <c r="D407" t="s">
        <v>292</v>
      </c>
      <c r="E407">
        <v>1</v>
      </c>
      <c r="F407">
        <v>0</v>
      </c>
      <c r="G407">
        <v>0</v>
      </c>
      <c r="H407" t="s">
        <v>297</v>
      </c>
      <c r="I407">
        <v>7</v>
      </c>
      <c r="J407">
        <v>0</v>
      </c>
      <c r="K407">
        <v>7</v>
      </c>
      <c r="L407">
        <v>0</v>
      </c>
      <c r="M407">
        <v>3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 t="s">
        <v>119</v>
      </c>
    </row>
    <row r="408" spans="1:25" x14ac:dyDescent="0.35">
      <c r="A408">
        <v>3280</v>
      </c>
      <c r="B408" t="s">
        <v>132</v>
      </c>
      <c r="C408" t="s">
        <v>10</v>
      </c>
      <c r="D408" t="s">
        <v>292</v>
      </c>
      <c r="E408">
        <v>1</v>
      </c>
      <c r="F408">
        <v>0</v>
      </c>
      <c r="G408">
        <v>0</v>
      </c>
      <c r="H408" t="s">
        <v>297</v>
      </c>
      <c r="I408">
        <v>8</v>
      </c>
      <c r="J408">
        <v>8</v>
      </c>
      <c r="K408">
        <v>0</v>
      </c>
      <c r="L408">
        <v>0</v>
      </c>
      <c r="M408">
        <v>0</v>
      </c>
      <c r="N408">
        <v>1</v>
      </c>
      <c r="O408">
        <v>0</v>
      </c>
      <c r="P408">
        <v>0</v>
      </c>
      <c r="Q408">
        <v>0</v>
      </c>
      <c r="R408">
        <v>1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 t="s">
        <v>119</v>
      </c>
    </row>
    <row r="409" spans="1:25" x14ac:dyDescent="0.35">
      <c r="A409">
        <v>3292</v>
      </c>
      <c r="B409" t="s">
        <v>132</v>
      </c>
      <c r="C409" t="s">
        <v>10</v>
      </c>
      <c r="D409" t="s">
        <v>292</v>
      </c>
      <c r="E409">
        <v>1</v>
      </c>
      <c r="F409">
        <v>0</v>
      </c>
      <c r="G409">
        <v>0</v>
      </c>
      <c r="H409" t="s">
        <v>297</v>
      </c>
      <c r="I409">
        <v>6</v>
      </c>
      <c r="J409">
        <v>6</v>
      </c>
      <c r="K409">
        <v>0</v>
      </c>
      <c r="L409">
        <v>0</v>
      </c>
      <c r="M409">
        <v>3</v>
      </c>
      <c r="N409">
        <v>1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 t="s">
        <v>119</v>
      </c>
    </row>
    <row r="410" spans="1:25" x14ac:dyDescent="0.35">
      <c r="A410">
        <v>3301</v>
      </c>
      <c r="B410" t="s">
        <v>132</v>
      </c>
      <c r="C410" t="s">
        <v>3</v>
      </c>
      <c r="D410" t="s">
        <v>292</v>
      </c>
      <c r="E410">
        <v>0</v>
      </c>
      <c r="F410">
        <v>0</v>
      </c>
      <c r="G410">
        <v>0</v>
      </c>
      <c r="H410" t="s">
        <v>297</v>
      </c>
      <c r="I410">
        <v>8</v>
      </c>
      <c r="J410">
        <v>0</v>
      </c>
      <c r="K410">
        <v>0</v>
      </c>
      <c r="L410">
        <v>0</v>
      </c>
      <c r="M410">
        <v>0</v>
      </c>
      <c r="N410">
        <v>1</v>
      </c>
      <c r="O410">
        <v>1</v>
      </c>
      <c r="P410">
        <v>0</v>
      </c>
      <c r="Q410">
        <v>0</v>
      </c>
      <c r="R410">
        <v>0</v>
      </c>
      <c r="S410">
        <v>8</v>
      </c>
      <c r="T410">
        <v>0</v>
      </c>
      <c r="U410">
        <v>0</v>
      </c>
      <c r="V410">
        <v>0</v>
      </c>
      <c r="W410">
        <v>0</v>
      </c>
      <c r="X410">
        <v>0</v>
      </c>
      <c r="Y410" t="s">
        <v>119</v>
      </c>
    </row>
    <row r="411" spans="1:25" x14ac:dyDescent="0.35">
      <c r="A411">
        <v>3308</v>
      </c>
      <c r="B411" t="s">
        <v>132</v>
      </c>
      <c r="C411" t="s">
        <v>119</v>
      </c>
      <c r="D411" t="s">
        <v>292</v>
      </c>
      <c r="E411">
        <v>1</v>
      </c>
      <c r="F411">
        <v>0</v>
      </c>
      <c r="G411">
        <v>0</v>
      </c>
      <c r="H411" t="s">
        <v>297</v>
      </c>
      <c r="I411">
        <v>7</v>
      </c>
      <c r="J411">
        <v>1</v>
      </c>
      <c r="K411">
        <v>7</v>
      </c>
      <c r="L411">
        <v>0</v>
      </c>
      <c r="M411">
        <v>2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119</v>
      </c>
    </row>
    <row r="412" spans="1:25" x14ac:dyDescent="0.35">
      <c r="A412">
        <v>3310</v>
      </c>
      <c r="B412" t="s">
        <v>132</v>
      </c>
      <c r="C412" t="s">
        <v>119</v>
      </c>
      <c r="D412" t="s">
        <v>292</v>
      </c>
      <c r="E412">
        <v>1</v>
      </c>
      <c r="F412">
        <v>0</v>
      </c>
      <c r="G412">
        <v>0</v>
      </c>
      <c r="H412" t="s">
        <v>297</v>
      </c>
      <c r="I412">
        <v>6</v>
      </c>
      <c r="J412">
        <v>2</v>
      </c>
      <c r="K412">
        <v>6</v>
      </c>
      <c r="L412">
        <v>0</v>
      </c>
      <c r="M412">
        <v>2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119</v>
      </c>
    </row>
    <row r="413" spans="1:25" x14ac:dyDescent="0.35">
      <c r="A413">
        <v>3314</v>
      </c>
      <c r="B413" t="s">
        <v>132</v>
      </c>
      <c r="C413" t="s">
        <v>119</v>
      </c>
      <c r="D413" t="s">
        <v>292</v>
      </c>
      <c r="E413">
        <v>1</v>
      </c>
      <c r="F413">
        <v>0</v>
      </c>
      <c r="G413">
        <v>0</v>
      </c>
      <c r="H413" t="s">
        <v>297</v>
      </c>
      <c r="I413">
        <v>10</v>
      </c>
      <c r="J413">
        <v>0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119</v>
      </c>
    </row>
    <row r="414" spans="1:25" x14ac:dyDescent="0.35">
      <c r="A414">
        <v>3442</v>
      </c>
      <c r="B414" t="s">
        <v>132</v>
      </c>
      <c r="C414" t="s">
        <v>3</v>
      </c>
      <c r="D414" t="s">
        <v>292</v>
      </c>
      <c r="E414">
        <v>1</v>
      </c>
      <c r="F414">
        <v>1</v>
      </c>
      <c r="G414">
        <v>0</v>
      </c>
      <c r="H414" t="s">
        <v>297</v>
      </c>
      <c r="I414">
        <v>6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1</v>
      </c>
      <c r="Q414">
        <v>3</v>
      </c>
      <c r="R414">
        <v>0</v>
      </c>
      <c r="S414">
        <v>6</v>
      </c>
      <c r="T414">
        <v>0</v>
      </c>
      <c r="U414">
        <v>0</v>
      </c>
      <c r="V414">
        <v>0</v>
      </c>
      <c r="W414">
        <v>0</v>
      </c>
      <c r="X414">
        <v>0</v>
      </c>
      <c r="Y414" t="s">
        <v>119</v>
      </c>
    </row>
    <row r="415" spans="1:25" x14ac:dyDescent="0.35">
      <c r="A415">
        <v>3626</v>
      </c>
      <c r="B415" t="s">
        <v>132</v>
      </c>
      <c r="C415" t="s">
        <v>3</v>
      </c>
      <c r="D415" t="s">
        <v>292</v>
      </c>
      <c r="E415">
        <v>0</v>
      </c>
      <c r="F415">
        <v>0</v>
      </c>
      <c r="G415">
        <v>0</v>
      </c>
      <c r="H415" t="s">
        <v>297</v>
      </c>
      <c r="I415">
        <v>6</v>
      </c>
      <c r="J415">
        <v>0</v>
      </c>
      <c r="K415">
        <v>3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</v>
      </c>
      <c r="R415">
        <v>0</v>
      </c>
      <c r="S415">
        <v>6</v>
      </c>
      <c r="T415">
        <v>0</v>
      </c>
      <c r="U415">
        <v>0</v>
      </c>
      <c r="V415">
        <v>0</v>
      </c>
      <c r="W415">
        <v>0</v>
      </c>
      <c r="X415">
        <v>0</v>
      </c>
      <c r="Y415" t="s">
        <v>119</v>
      </c>
    </row>
    <row r="416" spans="1:25" x14ac:dyDescent="0.35">
      <c r="A416">
        <v>3627</v>
      </c>
      <c r="B416" t="s">
        <v>132</v>
      </c>
      <c r="C416" t="s">
        <v>3</v>
      </c>
      <c r="D416" t="s">
        <v>292</v>
      </c>
      <c r="E416">
        <v>0</v>
      </c>
      <c r="F416">
        <v>0</v>
      </c>
      <c r="G416">
        <v>1</v>
      </c>
      <c r="H416" t="s">
        <v>297</v>
      </c>
      <c r="I416">
        <v>9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9</v>
      </c>
      <c r="T416">
        <v>0</v>
      </c>
      <c r="U416">
        <v>0</v>
      </c>
      <c r="V416">
        <v>0</v>
      </c>
      <c r="W416">
        <v>0</v>
      </c>
      <c r="X416">
        <v>0</v>
      </c>
      <c r="Y416" t="s">
        <v>119</v>
      </c>
    </row>
    <row r="417" spans="1:25" x14ac:dyDescent="0.35">
      <c r="A417">
        <v>3780</v>
      </c>
      <c r="B417" t="s">
        <v>132</v>
      </c>
      <c r="C417" t="s">
        <v>3</v>
      </c>
      <c r="D417" t="s">
        <v>292</v>
      </c>
      <c r="E417">
        <v>0</v>
      </c>
      <c r="F417">
        <v>0</v>
      </c>
      <c r="G417">
        <v>0</v>
      </c>
      <c r="H417" t="s">
        <v>297</v>
      </c>
      <c r="I417">
        <v>5</v>
      </c>
      <c r="J417">
        <v>0</v>
      </c>
      <c r="K417">
        <v>0</v>
      </c>
      <c r="L417">
        <v>0</v>
      </c>
      <c r="M417">
        <v>2</v>
      </c>
      <c r="N417">
        <v>0</v>
      </c>
      <c r="O417">
        <v>0</v>
      </c>
      <c r="P417">
        <v>0</v>
      </c>
      <c r="Q417">
        <v>3</v>
      </c>
      <c r="R417">
        <v>0</v>
      </c>
      <c r="S417">
        <v>5</v>
      </c>
      <c r="T417">
        <v>0</v>
      </c>
      <c r="U417">
        <v>0</v>
      </c>
      <c r="V417">
        <v>0</v>
      </c>
      <c r="W417">
        <v>0</v>
      </c>
      <c r="X417">
        <v>0</v>
      </c>
      <c r="Y417" t="s">
        <v>119</v>
      </c>
    </row>
    <row r="418" spans="1:25" x14ac:dyDescent="0.35">
      <c r="A418">
        <v>3205</v>
      </c>
      <c r="B418" t="s">
        <v>164</v>
      </c>
      <c r="C418" t="s">
        <v>9</v>
      </c>
      <c r="D418" t="s">
        <v>239</v>
      </c>
      <c r="E418">
        <v>1</v>
      </c>
      <c r="F418">
        <v>0</v>
      </c>
      <c r="G418">
        <v>0</v>
      </c>
      <c r="H418" t="s">
        <v>297</v>
      </c>
      <c r="I418">
        <v>4</v>
      </c>
      <c r="J418">
        <v>0</v>
      </c>
      <c r="K418">
        <v>0</v>
      </c>
      <c r="L418">
        <v>0</v>
      </c>
      <c r="M418">
        <v>6</v>
      </c>
      <c r="N418">
        <v>0</v>
      </c>
      <c r="O418">
        <v>0</v>
      </c>
      <c r="P418">
        <v>4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 t="s">
        <v>15</v>
      </c>
    </row>
    <row r="419" spans="1:25" x14ac:dyDescent="0.35">
      <c r="A419">
        <v>3209</v>
      </c>
      <c r="B419" t="s">
        <v>164</v>
      </c>
      <c r="C419" t="s">
        <v>9</v>
      </c>
      <c r="D419" t="s">
        <v>239</v>
      </c>
      <c r="E419">
        <v>1</v>
      </c>
      <c r="F419">
        <v>0</v>
      </c>
      <c r="G419">
        <v>0</v>
      </c>
      <c r="H419" t="s">
        <v>297</v>
      </c>
      <c r="I419">
        <v>3</v>
      </c>
      <c r="J419">
        <v>0</v>
      </c>
      <c r="K419">
        <v>2</v>
      </c>
      <c r="L419">
        <v>0</v>
      </c>
      <c r="M419">
        <v>5</v>
      </c>
      <c r="N419">
        <v>0</v>
      </c>
      <c r="O419">
        <v>0</v>
      </c>
      <c r="P419">
        <v>3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 t="s">
        <v>15</v>
      </c>
    </row>
    <row r="420" spans="1:25" x14ac:dyDescent="0.35">
      <c r="A420">
        <v>3211</v>
      </c>
      <c r="B420" t="s">
        <v>164</v>
      </c>
      <c r="C420" t="s">
        <v>9</v>
      </c>
      <c r="D420" t="s">
        <v>239</v>
      </c>
      <c r="E420">
        <v>1</v>
      </c>
      <c r="F420">
        <v>0</v>
      </c>
      <c r="G420">
        <v>0</v>
      </c>
      <c r="H420" t="s">
        <v>297</v>
      </c>
      <c r="I420">
        <v>8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1</v>
      </c>
      <c r="P420">
        <v>8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 t="s">
        <v>15</v>
      </c>
    </row>
    <row r="421" spans="1:25" x14ac:dyDescent="0.35">
      <c r="A421">
        <v>3214</v>
      </c>
      <c r="B421" t="s">
        <v>164</v>
      </c>
      <c r="C421" t="s">
        <v>9</v>
      </c>
      <c r="D421" t="s">
        <v>239</v>
      </c>
      <c r="E421">
        <v>1</v>
      </c>
      <c r="F421">
        <v>0</v>
      </c>
      <c r="G421">
        <v>0</v>
      </c>
      <c r="H421" t="s">
        <v>297</v>
      </c>
      <c r="I421">
        <v>7</v>
      </c>
      <c r="J421">
        <v>2</v>
      </c>
      <c r="K421">
        <v>0</v>
      </c>
      <c r="L421">
        <v>1</v>
      </c>
      <c r="M421">
        <v>0</v>
      </c>
      <c r="N421">
        <v>0</v>
      </c>
      <c r="O421">
        <v>0</v>
      </c>
      <c r="P421">
        <v>7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15</v>
      </c>
    </row>
    <row r="422" spans="1:25" x14ac:dyDescent="0.35">
      <c r="A422">
        <v>3215</v>
      </c>
      <c r="B422" t="s">
        <v>164</v>
      </c>
      <c r="C422" t="s">
        <v>9</v>
      </c>
      <c r="D422" t="s">
        <v>239</v>
      </c>
      <c r="E422">
        <v>0</v>
      </c>
      <c r="F422">
        <v>0</v>
      </c>
      <c r="G422">
        <v>0</v>
      </c>
      <c r="H422" t="s">
        <v>297</v>
      </c>
      <c r="I422">
        <v>5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5</v>
      </c>
      <c r="Q422">
        <v>0</v>
      </c>
      <c r="R422">
        <v>0</v>
      </c>
      <c r="S422">
        <v>3</v>
      </c>
      <c r="T422">
        <v>0</v>
      </c>
      <c r="U422">
        <v>0</v>
      </c>
      <c r="V422">
        <v>0</v>
      </c>
      <c r="W422">
        <v>2</v>
      </c>
      <c r="X422">
        <v>0</v>
      </c>
      <c r="Y422" t="s">
        <v>15</v>
      </c>
    </row>
    <row r="423" spans="1:25" x14ac:dyDescent="0.35">
      <c r="A423">
        <v>3322</v>
      </c>
      <c r="B423" t="s">
        <v>164</v>
      </c>
      <c r="C423" t="s">
        <v>9</v>
      </c>
      <c r="D423" t="s">
        <v>239</v>
      </c>
      <c r="E423">
        <v>0</v>
      </c>
      <c r="F423">
        <v>0</v>
      </c>
      <c r="G423">
        <v>0</v>
      </c>
      <c r="H423" t="s">
        <v>297</v>
      </c>
      <c r="I423">
        <v>3</v>
      </c>
      <c r="J423">
        <v>0</v>
      </c>
      <c r="K423">
        <v>6</v>
      </c>
      <c r="L423">
        <v>0</v>
      </c>
      <c r="M423">
        <v>0</v>
      </c>
      <c r="N423">
        <v>0</v>
      </c>
      <c r="O423">
        <v>0</v>
      </c>
      <c r="P423">
        <v>3</v>
      </c>
      <c r="Q423">
        <v>0</v>
      </c>
      <c r="R423">
        <v>1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 t="s">
        <v>15</v>
      </c>
    </row>
    <row r="424" spans="1:25" x14ac:dyDescent="0.35">
      <c r="A424">
        <v>3473</v>
      </c>
      <c r="B424" t="s">
        <v>164</v>
      </c>
      <c r="C424" t="s">
        <v>9</v>
      </c>
      <c r="D424" t="s">
        <v>239</v>
      </c>
      <c r="E424">
        <v>0</v>
      </c>
      <c r="F424">
        <v>0</v>
      </c>
      <c r="G424">
        <v>0</v>
      </c>
      <c r="H424" t="s">
        <v>297</v>
      </c>
      <c r="I424">
        <v>3</v>
      </c>
      <c r="J424">
        <v>2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3</v>
      </c>
      <c r="Q424">
        <v>0</v>
      </c>
      <c r="R424">
        <v>0</v>
      </c>
      <c r="S424">
        <v>5</v>
      </c>
      <c r="T424">
        <v>0</v>
      </c>
      <c r="U424">
        <v>0</v>
      </c>
      <c r="V424">
        <v>0</v>
      </c>
      <c r="W424">
        <v>0</v>
      </c>
      <c r="X424">
        <v>0</v>
      </c>
      <c r="Y424" t="s">
        <v>15</v>
      </c>
    </row>
    <row r="425" spans="1:25" x14ac:dyDescent="0.35">
      <c r="A425">
        <v>3477</v>
      </c>
      <c r="B425" t="s">
        <v>164</v>
      </c>
      <c r="C425" t="s">
        <v>9</v>
      </c>
      <c r="D425" t="s">
        <v>239</v>
      </c>
      <c r="E425">
        <v>1</v>
      </c>
      <c r="F425">
        <v>0</v>
      </c>
      <c r="G425">
        <v>0</v>
      </c>
      <c r="H425" t="s">
        <v>297</v>
      </c>
      <c r="I425">
        <v>4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4</v>
      </c>
      <c r="Q425">
        <v>0</v>
      </c>
      <c r="R425">
        <v>0</v>
      </c>
      <c r="S425">
        <v>5</v>
      </c>
      <c r="T425">
        <v>0</v>
      </c>
      <c r="U425">
        <v>0</v>
      </c>
      <c r="V425">
        <v>0</v>
      </c>
      <c r="W425">
        <v>0</v>
      </c>
      <c r="X425">
        <v>1</v>
      </c>
      <c r="Y425" t="s">
        <v>15</v>
      </c>
    </row>
    <row r="426" spans="1:25" x14ac:dyDescent="0.35">
      <c r="A426">
        <v>3480</v>
      </c>
      <c r="B426" t="s">
        <v>164</v>
      </c>
      <c r="C426" t="s">
        <v>15</v>
      </c>
      <c r="D426" t="s">
        <v>239</v>
      </c>
      <c r="E426">
        <v>1</v>
      </c>
      <c r="F426">
        <v>0</v>
      </c>
      <c r="G426">
        <v>0</v>
      </c>
      <c r="H426" t="s">
        <v>297</v>
      </c>
      <c r="I426">
        <v>8</v>
      </c>
      <c r="J426">
        <v>1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8</v>
      </c>
      <c r="X426">
        <v>0</v>
      </c>
      <c r="Y426" t="s">
        <v>15</v>
      </c>
    </row>
    <row r="427" spans="1:25" x14ac:dyDescent="0.35">
      <c r="A427">
        <v>3543</v>
      </c>
      <c r="B427" t="s">
        <v>164</v>
      </c>
      <c r="C427" t="s">
        <v>9</v>
      </c>
      <c r="D427" t="s">
        <v>239</v>
      </c>
      <c r="E427">
        <v>1</v>
      </c>
      <c r="F427">
        <v>0</v>
      </c>
      <c r="G427">
        <v>0</v>
      </c>
      <c r="H427" t="s">
        <v>297</v>
      </c>
      <c r="I427">
        <v>3</v>
      </c>
      <c r="J427">
        <v>0</v>
      </c>
      <c r="K427">
        <v>0</v>
      </c>
      <c r="L427">
        <v>0</v>
      </c>
      <c r="M427">
        <v>5</v>
      </c>
      <c r="N427">
        <v>0</v>
      </c>
      <c r="O427">
        <v>0</v>
      </c>
      <c r="P427">
        <v>3</v>
      </c>
      <c r="Q427">
        <v>0</v>
      </c>
      <c r="R427">
        <v>0</v>
      </c>
      <c r="S427">
        <v>2</v>
      </c>
      <c r="T427">
        <v>0</v>
      </c>
      <c r="U427">
        <v>0</v>
      </c>
      <c r="V427">
        <v>0</v>
      </c>
      <c r="W427">
        <v>0</v>
      </c>
      <c r="X427">
        <v>0</v>
      </c>
      <c r="Y427" t="s">
        <v>15</v>
      </c>
    </row>
    <row r="428" spans="1:25" x14ac:dyDescent="0.35">
      <c r="A428">
        <v>3545</v>
      </c>
      <c r="B428" t="s">
        <v>164</v>
      </c>
      <c r="C428" t="s">
        <v>9</v>
      </c>
      <c r="D428" t="s">
        <v>239</v>
      </c>
      <c r="E428">
        <v>1</v>
      </c>
      <c r="F428">
        <v>0</v>
      </c>
      <c r="G428">
        <v>0</v>
      </c>
      <c r="H428" t="s">
        <v>297</v>
      </c>
      <c r="I428">
        <v>6</v>
      </c>
      <c r="J428">
        <v>0</v>
      </c>
      <c r="K428">
        <v>0</v>
      </c>
      <c r="L428">
        <v>3</v>
      </c>
      <c r="M428">
        <v>0</v>
      </c>
      <c r="N428">
        <v>0</v>
      </c>
      <c r="O428">
        <v>1</v>
      </c>
      <c r="P428">
        <v>6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 t="s">
        <v>15</v>
      </c>
    </row>
    <row r="429" spans="1:25" x14ac:dyDescent="0.35">
      <c r="A429">
        <v>3552</v>
      </c>
      <c r="B429" t="s">
        <v>164</v>
      </c>
      <c r="C429" t="s">
        <v>9</v>
      </c>
      <c r="D429" t="s">
        <v>239</v>
      </c>
      <c r="E429">
        <v>1</v>
      </c>
      <c r="F429">
        <v>0</v>
      </c>
      <c r="G429">
        <v>0</v>
      </c>
      <c r="H429" t="s">
        <v>297</v>
      </c>
      <c r="I429">
        <v>7</v>
      </c>
      <c r="J429">
        <v>0</v>
      </c>
      <c r="K429">
        <v>0</v>
      </c>
      <c r="L429">
        <v>2</v>
      </c>
      <c r="M429">
        <v>0</v>
      </c>
      <c r="N429">
        <v>0</v>
      </c>
      <c r="O429">
        <v>0</v>
      </c>
      <c r="P429">
        <v>7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1</v>
      </c>
      <c r="X429">
        <v>0</v>
      </c>
      <c r="Y429" t="s">
        <v>15</v>
      </c>
    </row>
    <row r="430" spans="1:25" x14ac:dyDescent="0.35">
      <c r="A430">
        <v>3616</v>
      </c>
      <c r="B430" t="s">
        <v>164</v>
      </c>
      <c r="C430" t="s">
        <v>9</v>
      </c>
      <c r="D430" t="s">
        <v>239</v>
      </c>
      <c r="E430">
        <v>0</v>
      </c>
      <c r="F430">
        <v>0</v>
      </c>
      <c r="G430">
        <v>0</v>
      </c>
      <c r="H430" t="s">
        <v>297</v>
      </c>
      <c r="I430">
        <v>2</v>
      </c>
      <c r="J430">
        <v>0</v>
      </c>
      <c r="K430">
        <v>0</v>
      </c>
      <c r="L430">
        <v>0</v>
      </c>
      <c r="M430">
        <v>0</v>
      </c>
      <c r="N430">
        <v>5</v>
      </c>
      <c r="O430">
        <v>3</v>
      </c>
      <c r="P430">
        <v>2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 t="s">
        <v>15</v>
      </c>
    </row>
    <row r="431" spans="1:25" x14ac:dyDescent="0.35">
      <c r="A431">
        <v>3768</v>
      </c>
      <c r="B431" t="s">
        <v>164</v>
      </c>
      <c r="C431" t="s">
        <v>9</v>
      </c>
      <c r="D431" t="s">
        <v>239</v>
      </c>
      <c r="E431">
        <v>0</v>
      </c>
      <c r="F431">
        <v>0</v>
      </c>
      <c r="G431">
        <v>0</v>
      </c>
      <c r="H431" t="s">
        <v>297</v>
      </c>
      <c r="I431">
        <v>4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1</v>
      </c>
      <c r="P431">
        <v>4</v>
      </c>
      <c r="Q431">
        <v>0</v>
      </c>
      <c r="R431">
        <v>0</v>
      </c>
      <c r="S431">
        <v>5</v>
      </c>
      <c r="T431">
        <v>0</v>
      </c>
      <c r="U431">
        <v>0</v>
      </c>
      <c r="V431">
        <v>0</v>
      </c>
      <c r="W431">
        <v>0</v>
      </c>
      <c r="X431">
        <v>0</v>
      </c>
      <c r="Y431" t="s">
        <v>15</v>
      </c>
    </row>
    <row r="432" spans="1:25" x14ac:dyDescent="0.35">
      <c r="A432">
        <v>3093</v>
      </c>
      <c r="B432" t="s">
        <v>158</v>
      </c>
      <c r="C432" t="s">
        <v>3</v>
      </c>
      <c r="D432" t="s">
        <v>206</v>
      </c>
      <c r="E432">
        <v>1</v>
      </c>
      <c r="F432">
        <v>0</v>
      </c>
      <c r="G432">
        <v>0</v>
      </c>
      <c r="H432" t="s">
        <v>297</v>
      </c>
      <c r="I432">
        <v>8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>
        <v>0</v>
      </c>
      <c r="Q432">
        <v>1</v>
      </c>
      <c r="R432">
        <v>0</v>
      </c>
      <c r="S432">
        <v>8</v>
      </c>
      <c r="T432">
        <v>0</v>
      </c>
      <c r="U432">
        <v>0</v>
      </c>
      <c r="V432">
        <v>0</v>
      </c>
      <c r="W432">
        <v>0</v>
      </c>
      <c r="X432">
        <v>0</v>
      </c>
      <c r="Y432" t="s">
        <v>12</v>
      </c>
    </row>
    <row r="433" spans="1:25" x14ac:dyDescent="0.35">
      <c r="A433">
        <v>3154</v>
      </c>
      <c r="B433" t="s">
        <v>158</v>
      </c>
      <c r="C433" t="s">
        <v>3</v>
      </c>
      <c r="D433" t="s">
        <v>206</v>
      </c>
      <c r="E433">
        <v>0</v>
      </c>
      <c r="F433">
        <v>0</v>
      </c>
      <c r="G433">
        <v>1</v>
      </c>
      <c r="H433" t="s">
        <v>297</v>
      </c>
      <c r="I433">
        <v>8</v>
      </c>
      <c r="J433">
        <v>0</v>
      </c>
      <c r="K433">
        <v>0</v>
      </c>
      <c r="L433">
        <v>0</v>
      </c>
      <c r="M433">
        <v>0</v>
      </c>
      <c r="N433">
        <v>1</v>
      </c>
      <c r="O433">
        <v>1</v>
      </c>
      <c r="P433">
        <v>0</v>
      </c>
      <c r="Q433">
        <v>0</v>
      </c>
      <c r="R433">
        <v>0</v>
      </c>
      <c r="S433">
        <v>8</v>
      </c>
      <c r="T433">
        <v>0</v>
      </c>
      <c r="U433">
        <v>0</v>
      </c>
      <c r="V433">
        <v>0</v>
      </c>
      <c r="W433">
        <v>0</v>
      </c>
      <c r="X433">
        <v>0</v>
      </c>
      <c r="Y433" t="s">
        <v>12</v>
      </c>
    </row>
    <row r="434" spans="1:25" x14ac:dyDescent="0.35">
      <c r="A434">
        <v>3304</v>
      </c>
      <c r="B434" t="s">
        <v>158</v>
      </c>
      <c r="C434" t="s">
        <v>3</v>
      </c>
      <c r="D434" t="s">
        <v>206</v>
      </c>
      <c r="E434">
        <v>1</v>
      </c>
      <c r="F434">
        <v>0</v>
      </c>
      <c r="G434">
        <v>1</v>
      </c>
      <c r="H434" t="s">
        <v>297</v>
      </c>
      <c r="I434">
        <v>6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3</v>
      </c>
      <c r="S434">
        <v>6</v>
      </c>
      <c r="T434">
        <v>0</v>
      </c>
      <c r="U434">
        <v>0</v>
      </c>
      <c r="V434">
        <v>0</v>
      </c>
      <c r="W434">
        <v>0</v>
      </c>
      <c r="X434">
        <v>0</v>
      </c>
      <c r="Y434" t="s">
        <v>12</v>
      </c>
    </row>
    <row r="435" spans="1:25" x14ac:dyDescent="0.35">
      <c r="A435">
        <v>3306</v>
      </c>
      <c r="B435" t="s">
        <v>158</v>
      </c>
      <c r="C435" t="s">
        <v>3</v>
      </c>
      <c r="D435" t="s">
        <v>206</v>
      </c>
      <c r="E435">
        <v>0</v>
      </c>
      <c r="F435">
        <v>0</v>
      </c>
      <c r="G435">
        <v>0</v>
      </c>
      <c r="H435" t="s">
        <v>297</v>
      </c>
      <c r="I435">
        <v>7</v>
      </c>
      <c r="J435">
        <v>0</v>
      </c>
      <c r="K435">
        <v>0</v>
      </c>
      <c r="L435">
        <v>0</v>
      </c>
      <c r="M435">
        <v>0</v>
      </c>
      <c r="N435">
        <v>1</v>
      </c>
      <c r="O435">
        <v>2</v>
      </c>
      <c r="P435">
        <v>0</v>
      </c>
      <c r="Q435">
        <v>0</v>
      </c>
      <c r="R435">
        <v>0</v>
      </c>
      <c r="S435">
        <v>7</v>
      </c>
      <c r="T435">
        <v>0</v>
      </c>
      <c r="U435">
        <v>0</v>
      </c>
      <c r="V435">
        <v>0</v>
      </c>
      <c r="W435">
        <v>0</v>
      </c>
      <c r="X435">
        <v>0</v>
      </c>
      <c r="Y435" t="s">
        <v>12</v>
      </c>
    </row>
    <row r="436" spans="1:25" x14ac:dyDescent="0.35">
      <c r="A436">
        <v>3307</v>
      </c>
      <c r="B436" t="s">
        <v>158</v>
      </c>
      <c r="C436" t="s">
        <v>3</v>
      </c>
      <c r="D436" t="s">
        <v>206</v>
      </c>
      <c r="E436">
        <v>0</v>
      </c>
      <c r="F436">
        <v>0</v>
      </c>
      <c r="G436">
        <v>0</v>
      </c>
      <c r="H436" t="s">
        <v>297</v>
      </c>
      <c r="I436">
        <v>5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4</v>
      </c>
      <c r="P436">
        <v>0</v>
      </c>
      <c r="Q436">
        <v>0</v>
      </c>
      <c r="R436">
        <v>0</v>
      </c>
      <c r="S436">
        <v>5</v>
      </c>
      <c r="T436">
        <v>0</v>
      </c>
      <c r="U436">
        <v>0</v>
      </c>
      <c r="V436">
        <v>0</v>
      </c>
      <c r="W436">
        <v>0</v>
      </c>
      <c r="X436">
        <v>0</v>
      </c>
      <c r="Y436" t="s">
        <v>12</v>
      </c>
    </row>
    <row r="437" spans="1:25" x14ac:dyDescent="0.35">
      <c r="A437">
        <v>3432</v>
      </c>
      <c r="B437" t="s">
        <v>158</v>
      </c>
      <c r="C437" t="s">
        <v>3</v>
      </c>
      <c r="D437" t="s">
        <v>206</v>
      </c>
      <c r="E437">
        <v>0</v>
      </c>
      <c r="F437">
        <v>0</v>
      </c>
      <c r="G437">
        <v>1</v>
      </c>
      <c r="H437" t="s">
        <v>297</v>
      </c>
      <c r="I437">
        <v>5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3</v>
      </c>
      <c r="R437">
        <v>0</v>
      </c>
      <c r="S437">
        <v>5</v>
      </c>
      <c r="T437">
        <v>0</v>
      </c>
      <c r="U437">
        <v>0</v>
      </c>
      <c r="V437">
        <v>0</v>
      </c>
      <c r="W437">
        <v>0</v>
      </c>
      <c r="X437">
        <v>2</v>
      </c>
      <c r="Y437" t="s">
        <v>12</v>
      </c>
    </row>
    <row r="438" spans="1:25" x14ac:dyDescent="0.35">
      <c r="A438">
        <v>3440</v>
      </c>
      <c r="B438" t="s">
        <v>158</v>
      </c>
      <c r="C438" t="s">
        <v>3</v>
      </c>
      <c r="D438" t="s">
        <v>206</v>
      </c>
      <c r="E438">
        <v>0</v>
      </c>
      <c r="F438">
        <v>0</v>
      </c>
      <c r="G438">
        <v>0</v>
      </c>
      <c r="H438" t="s">
        <v>297</v>
      </c>
      <c r="I438">
        <v>7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2</v>
      </c>
      <c r="R438">
        <v>0</v>
      </c>
      <c r="S438">
        <v>7</v>
      </c>
      <c r="T438">
        <v>0</v>
      </c>
      <c r="U438">
        <v>0</v>
      </c>
      <c r="V438">
        <v>0</v>
      </c>
      <c r="W438">
        <v>0</v>
      </c>
      <c r="X438">
        <v>1</v>
      </c>
      <c r="Y438" t="s">
        <v>12</v>
      </c>
    </row>
    <row r="439" spans="1:25" x14ac:dyDescent="0.35">
      <c r="A439">
        <v>3441</v>
      </c>
      <c r="B439" t="s">
        <v>158</v>
      </c>
      <c r="C439" t="s">
        <v>3</v>
      </c>
      <c r="D439" t="s">
        <v>206</v>
      </c>
      <c r="E439">
        <v>1</v>
      </c>
      <c r="F439">
        <v>0</v>
      </c>
      <c r="G439">
        <v>0</v>
      </c>
      <c r="H439" t="s">
        <v>297</v>
      </c>
      <c r="I439">
        <v>6</v>
      </c>
      <c r="J439">
        <v>0</v>
      </c>
      <c r="K439">
        <v>0</v>
      </c>
      <c r="L439">
        <v>0</v>
      </c>
      <c r="M439">
        <v>0</v>
      </c>
      <c r="N439">
        <v>1</v>
      </c>
      <c r="O439">
        <v>0</v>
      </c>
      <c r="P439">
        <v>0</v>
      </c>
      <c r="Q439">
        <v>3</v>
      </c>
      <c r="R439">
        <v>0</v>
      </c>
      <c r="S439">
        <v>6</v>
      </c>
      <c r="T439">
        <v>0</v>
      </c>
      <c r="U439">
        <v>0</v>
      </c>
      <c r="V439">
        <v>0</v>
      </c>
      <c r="W439">
        <v>0</v>
      </c>
      <c r="X439">
        <v>0</v>
      </c>
      <c r="Y439" t="s">
        <v>12</v>
      </c>
    </row>
    <row r="440" spans="1:25" x14ac:dyDescent="0.35">
      <c r="A440">
        <v>3444</v>
      </c>
      <c r="B440" t="s">
        <v>158</v>
      </c>
      <c r="C440" t="s">
        <v>3</v>
      </c>
      <c r="D440" t="s">
        <v>206</v>
      </c>
      <c r="E440">
        <v>0</v>
      </c>
      <c r="F440">
        <v>0</v>
      </c>
      <c r="G440">
        <v>0</v>
      </c>
      <c r="H440" t="s">
        <v>297</v>
      </c>
      <c r="I440">
        <v>8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</v>
      </c>
      <c r="R440">
        <v>0</v>
      </c>
      <c r="S440">
        <v>8</v>
      </c>
      <c r="T440">
        <v>0</v>
      </c>
      <c r="U440">
        <v>1</v>
      </c>
      <c r="V440">
        <v>0</v>
      </c>
      <c r="W440">
        <v>0</v>
      </c>
      <c r="X440">
        <v>0</v>
      </c>
      <c r="Y440" t="s">
        <v>12</v>
      </c>
    </row>
    <row r="441" spans="1:25" x14ac:dyDescent="0.35">
      <c r="A441">
        <v>3487</v>
      </c>
      <c r="B441" t="s">
        <v>158</v>
      </c>
      <c r="C441" t="s">
        <v>3</v>
      </c>
      <c r="D441" t="s">
        <v>206</v>
      </c>
      <c r="E441">
        <v>0</v>
      </c>
      <c r="F441">
        <v>0</v>
      </c>
      <c r="G441">
        <v>0</v>
      </c>
      <c r="H441" t="s">
        <v>297</v>
      </c>
      <c r="I441">
        <v>7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2</v>
      </c>
      <c r="Q441">
        <v>0</v>
      </c>
      <c r="R441">
        <v>0</v>
      </c>
      <c r="S441">
        <v>7</v>
      </c>
      <c r="T441">
        <v>1</v>
      </c>
      <c r="U441">
        <v>0</v>
      </c>
      <c r="V441">
        <v>0</v>
      </c>
      <c r="W441">
        <v>0</v>
      </c>
      <c r="X441">
        <v>0</v>
      </c>
      <c r="Y441" t="s">
        <v>12</v>
      </c>
    </row>
    <row r="442" spans="1:25" x14ac:dyDescent="0.35">
      <c r="A442">
        <v>3628</v>
      </c>
      <c r="B442" t="s">
        <v>158</v>
      </c>
      <c r="C442" t="s">
        <v>3</v>
      </c>
      <c r="D442" t="s">
        <v>206</v>
      </c>
      <c r="E442">
        <v>1</v>
      </c>
      <c r="F442">
        <v>0</v>
      </c>
      <c r="G442">
        <v>0</v>
      </c>
      <c r="H442" t="s">
        <v>297</v>
      </c>
      <c r="I442">
        <v>7</v>
      </c>
      <c r="J442">
        <v>0</v>
      </c>
      <c r="K442">
        <v>2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7</v>
      </c>
      <c r="T442">
        <v>0</v>
      </c>
      <c r="U442">
        <v>0</v>
      </c>
      <c r="V442">
        <v>0</v>
      </c>
      <c r="W442">
        <v>0</v>
      </c>
      <c r="X442">
        <v>0</v>
      </c>
      <c r="Y442" t="s">
        <v>12</v>
      </c>
    </row>
    <row r="443" spans="1:25" x14ac:dyDescent="0.35">
      <c r="A443">
        <v>3651</v>
      </c>
      <c r="B443" t="s">
        <v>158</v>
      </c>
      <c r="C443" t="s">
        <v>3</v>
      </c>
      <c r="D443" t="s">
        <v>206</v>
      </c>
      <c r="E443">
        <v>0</v>
      </c>
      <c r="F443">
        <v>0</v>
      </c>
      <c r="G443">
        <v>1</v>
      </c>
      <c r="H443" t="s">
        <v>297</v>
      </c>
      <c r="I443">
        <v>8</v>
      </c>
      <c r="J443">
        <v>0</v>
      </c>
      <c r="K443">
        <v>0</v>
      </c>
      <c r="L443">
        <v>0</v>
      </c>
      <c r="M443">
        <v>0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8</v>
      </c>
      <c r="T443">
        <v>0</v>
      </c>
      <c r="U443">
        <v>0</v>
      </c>
      <c r="V443">
        <v>0</v>
      </c>
      <c r="W443">
        <v>0</v>
      </c>
      <c r="X443">
        <v>1</v>
      </c>
      <c r="Y443" t="s">
        <v>12</v>
      </c>
    </row>
    <row r="444" spans="1:25" x14ac:dyDescent="0.35">
      <c r="A444">
        <v>3657</v>
      </c>
      <c r="B444" t="s">
        <v>158</v>
      </c>
      <c r="C444" t="s">
        <v>3</v>
      </c>
      <c r="D444" t="s">
        <v>206</v>
      </c>
      <c r="E444">
        <v>1</v>
      </c>
      <c r="F444">
        <v>0</v>
      </c>
      <c r="G444">
        <v>0</v>
      </c>
      <c r="H444" t="s">
        <v>297</v>
      </c>
      <c r="I444">
        <v>8</v>
      </c>
      <c r="J444">
        <v>0</v>
      </c>
      <c r="K444">
        <v>0</v>
      </c>
      <c r="L444">
        <v>0</v>
      </c>
      <c r="M444">
        <v>0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8</v>
      </c>
      <c r="T444">
        <v>1</v>
      </c>
      <c r="U444">
        <v>0</v>
      </c>
      <c r="V444">
        <v>0</v>
      </c>
      <c r="W444">
        <v>0</v>
      </c>
      <c r="X444">
        <v>0</v>
      </c>
      <c r="Y444" t="s">
        <v>12</v>
      </c>
    </row>
    <row r="445" spans="1:25" x14ac:dyDescent="0.35">
      <c r="A445">
        <v>3770</v>
      </c>
      <c r="B445" t="s">
        <v>158</v>
      </c>
      <c r="C445" t="s">
        <v>3</v>
      </c>
      <c r="D445" t="s">
        <v>206</v>
      </c>
      <c r="E445">
        <v>0</v>
      </c>
      <c r="F445">
        <v>0</v>
      </c>
      <c r="G445">
        <v>0</v>
      </c>
      <c r="H445" t="s">
        <v>297</v>
      </c>
      <c r="I445">
        <v>8</v>
      </c>
      <c r="J445">
        <v>0</v>
      </c>
      <c r="K445">
        <v>0</v>
      </c>
      <c r="L445">
        <v>0</v>
      </c>
      <c r="M445">
        <v>1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8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12</v>
      </c>
    </row>
    <row r="446" spans="1:25" x14ac:dyDescent="0.35">
      <c r="A446">
        <v>3776</v>
      </c>
      <c r="B446" t="s">
        <v>158</v>
      </c>
      <c r="C446" t="s">
        <v>3</v>
      </c>
      <c r="D446" t="s">
        <v>206</v>
      </c>
      <c r="E446">
        <v>0</v>
      </c>
      <c r="F446">
        <v>0</v>
      </c>
      <c r="G446">
        <v>0</v>
      </c>
      <c r="H446" t="s">
        <v>297</v>
      </c>
      <c r="I446">
        <v>8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8</v>
      </c>
      <c r="T446">
        <v>0</v>
      </c>
      <c r="U446">
        <v>0</v>
      </c>
      <c r="V446">
        <v>0</v>
      </c>
      <c r="W446">
        <v>0</v>
      </c>
      <c r="X446">
        <v>1</v>
      </c>
      <c r="Y446" t="s">
        <v>12</v>
      </c>
    </row>
    <row r="447" spans="1:25" x14ac:dyDescent="0.35">
      <c r="A447">
        <v>3821</v>
      </c>
      <c r="B447" t="s">
        <v>158</v>
      </c>
      <c r="C447" t="s">
        <v>3</v>
      </c>
      <c r="D447" t="s">
        <v>206</v>
      </c>
      <c r="E447">
        <v>0</v>
      </c>
      <c r="F447">
        <v>0</v>
      </c>
      <c r="G447">
        <v>0</v>
      </c>
      <c r="H447" t="s">
        <v>297</v>
      </c>
      <c r="I447">
        <v>8</v>
      </c>
      <c r="J447">
        <v>0</v>
      </c>
      <c r="K447">
        <v>0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8</v>
      </c>
      <c r="T447">
        <v>1</v>
      </c>
      <c r="U447">
        <v>0</v>
      </c>
      <c r="V447">
        <v>0</v>
      </c>
      <c r="W447">
        <v>0</v>
      </c>
      <c r="X447">
        <v>0</v>
      </c>
      <c r="Y447" t="s">
        <v>12</v>
      </c>
    </row>
    <row r="448" spans="1:25" x14ac:dyDescent="0.35">
      <c r="A448">
        <v>3121</v>
      </c>
      <c r="B448" t="s">
        <v>163</v>
      </c>
      <c r="C448" t="s">
        <v>13</v>
      </c>
      <c r="D448" t="s">
        <v>293</v>
      </c>
      <c r="E448">
        <v>1</v>
      </c>
      <c r="F448">
        <v>0</v>
      </c>
      <c r="G448">
        <v>0</v>
      </c>
      <c r="H448" t="s">
        <v>297</v>
      </c>
      <c r="I448">
        <v>7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2</v>
      </c>
      <c r="V448">
        <v>0</v>
      </c>
      <c r="W448">
        <v>0</v>
      </c>
      <c r="X448">
        <v>7</v>
      </c>
      <c r="Y448" t="s">
        <v>15</v>
      </c>
    </row>
    <row r="449" spans="1:25" x14ac:dyDescent="0.35">
      <c r="A449">
        <v>3124</v>
      </c>
      <c r="B449" t="s">
        <v>163</v>
      </c>
      <c r="C449" t="s">
        <v>13</v>
      </c>
      <c r="D449" t="s">
        <v>293</v>
      </c>
      <c r="E449">
        <v>0</v>
      </c>
      <c r="F449">
        <v>0</v>
      </c>
      <c r="G449">
        <v>0</v>
      </c>
      <c r="H449" t="s">
        <v>297</v>
      </c>
      <c r="I449">
        <v>10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10</v>
      </c>
      <c r="Y449" t="s">
        <v>15</v>
      </c>
    </row>
    <row r="450" spans="1:25" x14ac:dyDescent="0.35">
      <c r="A450">
        <v>3127</v>
      </c>
      <c r="B450" t="s">
        <v>163</v>
      </c>
      <c r="C450" t="s">
        <v>13</v>
      </c>
      <c r="D450" t="s">
        <v>293</v>
      </c>
      <c r="E450">
        <v>1</v>
      </c>
      <c r="F450">
        <v>1</v>
      </c>
      <c r="G450">
        <v>0</v>
      </c>
      <c r="H450" t="s">
        <v>297</v>
      </c>
      <c r="I450">
        <v>6</v>
      </c>
      <c r="J450">
        <v>0</v>
      </c>
      <c r="K450">
        <v>0</v>
      </c>
      <c r="L450">
        <v>0</v>
      </c>
      <c r="M450">
        <v>0</v>
      </c>
      <c r="N450">
        <v>1</v>
      </c>
      <c r="O450">
        <v>3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6</v>
      </c>
      <c r="Y450" t="s">
        <v>15</v>
      </c>
    </row>
    <row r="451" spans="1:25" x14ac:dyDescent="0.35">
      <c r="A451">
        <v>3504</v>
      </c>
      <c r="B451" t="s">
        <v>163</v>
      </c>
      <c r="C451" t="s">
        <v>13</v>
      </c>
      <c r="D451" t="s">
        <v>293</v>
      </c>
      <c r="E451">
        <v>1</v>
      </c>
      <c r="F451">
        <v>0</v>
      </c>
      <c r="G451">
        <v>0</v>
      </c>
      <c r="H451" t="s">
        <v>297</v>
      </c>
      <c r="I451">
        <v>7</v>
      </c>
      <c r="J451">
        <v>0</v>
      </c>
      <c r="K451">
        <v>0</v>
      </c>
      <c r="L451">
        <v>1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2</v>
      </c>
      <c r="V451">
        <v>0</v>
      </c>
      <c r="W451">
        <v>0</v>
      </c>
      <c r="X451">
        <v>7</v>
      </c>
      <c r="Y451" t="s">
        <v>15</v>
      </c>
    </row>
    <row r="452" spans="1:25" x14ac:dyDescent="0.35">
      <c r="A452">
        <v>3506</v>
      </c>
      <c r="B452" t="s">
        <v>163</v>
      </c>
      <c r="C452" t="s">
        <v>13</v>
      </c>
      <c r="D452" t="s">
        <v>293</v>
      </c>
      <c r="E452">
        <v>0</v>
      </c>
      <c r="F452">
        <v>0</v>
      </c>
      <c r="G452">
        <v>0</v>
      </c>
      <c r="H452" t="s">
        <v>297</v>
      </c>
      <c r="I452">
        <v>10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10</v>
      </c>
      <c r="Y452" t="s">
        <v>15</v>
      </c>
    </row>
    <row r="453" spans="1:25" x14ac:dyDescent="0.35">
      <c r="A453">
        <v>3508</v>
      </c>
      <c r="B453" t="s">
        <v>163</v>
      </c>
      <c r="C453" t="s">
        <v>13</v>
      </c>
      <c r="D453" t="s">
        <v>293</v>
      </c>
      <c r="E453">
        <v>1</v>
      </c>
      <c r="F453">
        <v>0</v>
      </c>
      <c r="G453">
        <v>0</v>
      </c>
      <c r="H453" t="s">
        <v>297</v>
      </c>
      <c r="I453">
        <v>5</v>
      </c>
      <c r="J453">
        <v>0</v>
      </c>
      <c r="K453">
        <v>0</v>
      </c>
      <c r="L453">
        <v>0</v>
      </c>
      <c r="M453">
        <v>2</v>
      </c>
      <c r="N453">
        <v>0</v>
      </c>
      <c r="O453">
        <v>3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5</v>
      </c>
      <c r="Y453" t="s">
        <v>15</v>
      </c>
    </row>
    <row r="454" spans="1:25" x14ac:dyDescent="0.35">
      <c r="A454">
        <v>3509</v>
      </c>
      <c r="B454" t="s">
        <v>163</v>
      </c>
      <c r="C454" t="s">
        <v>13</v>
      </c>
      <c r="D454" t="s">
        <v>293</v>
      </c>
      <c r="E454">
        <v>0</v>
      </c>
      <c r="F454">
        <v>1</v>
      </c>
      <c r="G454">
        <v>0</v>
      </c>
      <c r="H454" t="s">
        <v>297</v>
      </c>
      <c r="I454">
        <v>10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10</v>
      </c>
      <c r="Y454" t="s">
        <v>15</v>
      </c>
    </row>
    <row r="455" spans="1:25" x14ac:dyDescent="0.35">
      <c r="A455">
        <v>3514</v>
      </c>
      <c r="B455" t="s">
        <v>163</v>
      </c>
      <c r="C455" t="s">
        <v>13</v>
      </c>
      <c r="D455" t="s">
        <v>293</v>
      </c>
      <c r="E455">
        <v>0</v>
      </c>
      <c r="F455">
        <v>0</v>
      </c>
      <c r="G455">
        <v>0</v>
      </c>
      <c r="H455" t="s">
        <v>297</v>
      </c>
      <c r="I455">
        <v>7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2</v>
      </c>
      <c r="U455">
        <v>0</v>
      </c>
      <c r="V455">
        <v>0</v>
      </c>
      <c r="W455">
        <v>0</v>
      </c>
      <c r="X455">
        <v>7</v>
      </c>
      <c r="Y455" t="s">
        <v>15</v>
      </c>
    </row>
    <row r="456" spans="1:25" x14ac:dyDescent="0.35">
      <c r="A456">
        <v>3515</v>
      </c>
      <c r="B456" t="s">
        <v>163</v>
      </c>
      <c r="C456" t="s">
        <v>13</v>
      </c>
      <c r="D456" t="s">
        <v>293</v>
      </c>
      <c r="E456">
        <v>1</v>
      </c>
      <c r="F456">
        <v>0</v>
      </c>
      <c r="G456">
        <v>0</v>
      </c>
      <c r="H456" t="s">
        <v>297</v>
      </c>
      <c r="I456">
        <v>10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10</v>
      </c>
      <c r="Y456" t="s">
        <v>15</v>
      </c>
    </row>
    <row r="457" spans="1:25" x14ac:dyDescent="0.35">
      <c r="A457">
        <v>3823</v>
      </c>
      <c r="B457" t="s">
        <v>163</v>
      </c>
      <c r="C457" t="s">
        <v>13</v>
      </c>
      <c r="D457" t="s">
        <v>293</v>
      </c>
      <c r="E457">
        <v>1</v>
      </c>
      <c r="F457">
        <v>0</v>
      </c>
      <c r="G457">
        <v>0</v>
      </c>
      <c r="H457" t="s">
        <v>297</v>
      </c>
      <c r="I457">
        <v>6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3</v>
      </c>
      <c r="T457">
        <v>0</v>
      </c>
      <c r="U457">
        <v>1</v>
      </c>
      <c r="V457">
        <v>0</v>
      </c>
      <c r="W457">
        <v>0</v>
      </c>
      <c r="X457">
        <v>6</v>
      </c>
      <c r="Y457" t="s">
        <v>15</v>
      </c>
    </row>
    <row r="458" spans="1:25" x14ac:dyDescent="0.35">
      <c r="A458">
        <v>3827</v>
      </c>
      <c r="B458" t="s">
        <v>163</v>
      </c>
      <c r="C458" t="s">
        <v>13</v>
      </c>
      <c r="D458" t="s">
        <v>293</v>
      </c>
      <c r="E458">
        <v>1</v>
      </c>
      <c r="F458">
        <v>0</v>
      </c>
      <c r="G458">
        <v>0</v>
      </c>
      <c r="H458" t="s">
        <v>297</v>
      </c>
      <c r="I458">
        <v>10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10</v>
      </c>
      <c r="Y458" t="s">
        <v>15</v>
      </c>
    </row>
    <row r="459" spans="1:25" x14ac:dyDescent="0.35">
      <c r="A459">
        <v>3838</v>
      </c>
      <c r="B459" t="s">
        <v>163</v>
      </c>
      <c r="C459" t="s">
        <v>13</v>
      </c>
      <c r="D459" t="s">
        <v>293</v>
      </c>
      <c r="E459">
        <v>0</v>
      </c>
      <c r="F459">
        <v>0</v>
      </c>
      <c r="G459">
        <v>0</v>
      </c>
      <c r="H459" t="s">
        <v>297</v>
      </c>
      <c r="I459">
        <v>5</v>
      </c>
      <c r="J459">
        <v>0</v>
      </c>
      <c r="K459">
        <v>0</v>
      </c>
      <c r="L459">
        <v>0</v>
      </c>
      <c r="M459">
        <v>0</v>
      </c>
      <c r="N459">
        <v>5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5</v>
      </c>
      <c r="Y459" t="s">
        <v>15</v>
      </c>
    </row>
    <row r="460" spans="1:25" x14ac:dyDescent="0.35">
      <c r="A460">
        <v>3842</v>
      </c>
      <c r="B460" t="s">
        <v>163</v>
      </c>
      <c r="C460" t="s">
        <v>13</v>
      </c>
      <c r="D460" t="s">
        <v>293</v>
      </c>
      <c r="E460">
        <v>1</v>
      </c>
      <c r="F460">
        <v>0</v>
      </c>
      <c r="G460">
        <v>0</v>
      </c>
      <c r="H460" t="s">
        <v>297</v>
      </c>
      <c r="I460">
        <v>5</v>
      </c>
      <c r="J460">
        <v>0</v>
      </c>
      <c r="K460">
        <v>0</v>
      </c>
      <c r="L460">
        <v>0</v>
      </c>
      <c r="M460">
        <v>0</v>
      </c>
      <c r="N460">
        <v>5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5</v>
      </c>
      <c r="Y460" t="s">
        <v>15</v>
      </c>
    </row>
    <row r="461" spans="1:25" x14ac:dyDescent="0.35">
      <c r="A461">
        <v>3847</v>
      </c>
      <c r="B461" t="s">
        <v>163</v>
      </c>
      <c r="C461" t="s">
        <v>13</v>
      </c>
      <c r="D461" t="s">
        <v>293</v>
      </c>
      <c r="E461">
        <v>0</v>
      </c>
      <c r="F461">
        <v>0</v>
      </c>
      <c r="G461">
        <v>0</v>
      </c>
      <c r="H461" t="s">
        <v>297</v>
      </c>
      <c r="I461">
        <v>5</v>
      </c>
      <c r="J461">
        <v>0</v>
      </c>
      <c r="K461">
        <v>0</v>
      </c>
      <c r="L461">
        <v>0</v>
      </c>
      <c r="M461">
        <v>0</v>
      </c>
      <c r="N461">
        <v>5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5</v>
      </c>
      <c r="Y461" t="s">
        <v>15</v>
      </c>
    </row>
    <row r="462" spans="1:25" x14ac:dyDescent="0.35">
      <c r="A462">
        <v>3281</v>
      </c>
      <c r="B462" t="s">
        <v>170</v>
      </c>
      <c r="C462" t="s">
        <v>2</v>
      </c>
      <c r="D462" t="s">
        <v>208</v>
      </c>
      <c r="E462">
        <v>0</v>
      </c>
      <c r="F462">
        <v>0</v>
      </c>
      <c r="G462">
        <v>0</v>
      </c>
      <c r="H462" t="s">
        <v>297</v>
      </c>
      <c r="I462">
        <v>6</v>
      </c>
      <c r="J462">
        <v>0</v>
      </c>
      <c r="K462">
        <v>0</v>
      </c>
      <c r="L462">
        <v>0</v>
      </c>
      <c r="M462">
        <v>0</v>
      </c>
      <c r="N462">
        <v>3</v>
      </c>
      <c r="O462">
        <v>1</v>
      </c>
      <c r="P462">
        <v>0</v>
      </c>
      <c r="Q462">
        <v>6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 t="s">
        <v>4</v>
      </c>
    </row>
    <row r="463" spans="1:25" x14ac:dyDescent="0.35">
      <c r="A463">
        <v>3289</v>
      </c>
      <c r="B463" t="s">
        <v>170</v>
      </c>
      <c r="C463" t="s">
        <v>2</v>
      </c>
      <c r="D463" t="s">
        <v>208</v>
      </c>
      <c r="E463">
        <v>0</v>
      </c>
      <c r="F463">
        <v>0</v>
      </c>
      <c r="G463">
        <v>0</v>
      </c>
      <c r="H463" t="s">
        <v>297</v>
      </c>
      <c r="I463">
        <v>5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2</v>
      </c>
      <c r="P463">
        <v>0</v>
      </c>
      <c r="Q463">
        <v>5</v>
      </c>
      <c r="R463">
        <v>0</v>
      </c>
      <c r="S463">
        <v>0</v>
      </c>
      <c r="T463">
        <v>0</v>
      </c>
      <c r="U463">
        <v>3</v>
      </c>
      <c r="V463">
        <v>0</v>
      </c>
      <c r="W463">
        <v>0</v>
      </c>
      <c r="X463">
        <v>0</v>
      </c>
      <c r="Y463" t="s">
        <v>4</v>
      </c>
    </row>
    <row r="464" spans="1:25" x14ac:dyDescent="0.35">
      <c r="A464">
        <v>3435</v>
      </c>
      <c r="B464" t="s">
        <v>170</v>
      </c>
      <c r="C464" t="s">
        <v>3</v>
      </c>
      <c r="D464" t="s">
        <v>208</v>
      </c>
      <c r="E464">
        <v>0</v>
      </c>
      <c r="F464">
        <v>0</v>
      </c>
      <c r="G464">
        <v>0</v>
      </c>
      <c r="H464" t="s">
        <v>297</v>
      </c>
      <c r="I464">
        <v>7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2</v>
      </c>
      <c r="R464">
        <v>0</v>
      </c>
      <c r="S464">
        <v>7</v>
      </c>
      <c r="T464">
        <v>0</v>
      </c>
      <c r="U464">
        <v>0</v>
      </c>
      <c r="V464">
        <v>0</v>
      </c>
      <c r="W464">
        <v>0</v>
      </c>
      <c r="X464">
        <v>1</v>
      </c>
      <c r="Y464" t="s">
        <v>4</v>
      </c>
    </row>
    <row r="465" spans="1:25" x14ac:dyDescent="0.35">
      <c r="A465">
        <v>3436</v>
      </c>
      <c r="B465" t="s">
        <v>170</v>
      </c>
      <c r="C465" t="s">
        <v>3</v>
      </c>
      <c r="D465" t="s">
        <v>208</v>
      </c>
      <c r="E465">
        <v>0</v>
      </c>
      <c r="F465">
        <v>0</v>
      </c>
      <c r="G465">
        <v>0</v>
      </c>
      <c r="H465" t="s">
        <v>297</v>
      </c>
      <c r="I465">
        <v>5</v>
      </c>
      <c r="J465">
        <v>0</v>
      </c>
      <c r="K465">
        <v>0</v>
      </c>
      <c r="L465">
        <v>2</v>
      </c>
      <c r="M465">
        <v>0</v>
      </c>
      <c r="N465">
        <v>0</v>
      </c>
      <c r="O465">
        <v>0</v>
      </c>
      <c r="P465">
        <v>0</v>
      </c>
      <c r="Q465">
        <v>3</v>
      </c>
      <c r="R465">
        <v>0</v>
      </c>
      <c r="S465">
        <v>5</v>
      </c>
      <c r="T465">
        <v>0</v>
      </c>
      <c r="U465">
        <v>0</v>
      </c>
      <c r="V465">
        <v>0</v>
      </c>
      <c r="W465">
        <v>0</v>
      </c>
      <c r="X465">
        <v>0</v>
      </c>
      <c r="Y465" t="s">
        <v>4</v>
      </c>
    </row>
    <row r="466" spans="1:25" x14ac:dyDescent="0.35">
      <c r="A466">
        <v>3438</v>
      </c>
      <c r="B466" t="s">
        <v>170</v>
      </c>
      <c r="C466" t="s">
        <v>3</v>
      </c>
      <c r="D466" t="s">
        <v>208</v>
      </c>
      <c r="E466">
        <v>0</v>
      </c>
      <c r="F466">
        <v>0</v>
      </c>
      <c r="G466">
        <v>0</v>
      </c>
      <c r="H466" t="s">
        <v>297</v>
      </c>
      <c r="I466">
        <v>8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8</v>
      </c>
      <c r="T466">
        <v>0</v>
      </c>
      <c r="U466">
        <v>0</v>
      </c>
      <c r="V466">
        <v>0</v>
      </c>
      <c r="W466">
        <v>0</v>
      </c>
      <c r="X466">
        <v>1</v>
      </c>
      <c r="Y466" t="s">
        <v>4</v>
      </c>
    </row>
    <row r="467" spans="1:25" x14ac:dyDescent="0.35">
      <c r="A467">
        <v>3439</v>
      </c>
      <c r="B467" t="s">
        <v>170</v>
      </c>
      <c r="C467" t="s">
        <v>3</v>
      </c>
      <c r="D467" t="s">
        <v>208</v>
      </c>
      <c r="E467">
        <v>1</v>
      </c>
      <c r="F467">
        <v>0</v>
      </c>
      <c r="G467">
        <v>0</v>
      </c>
      <c r="H467" t="s">
        <v>297</v>
      </c>
      <c r="I467">
        <v>5</v>
      </c>
      <c r="J467">
        <v>0</v>
      </c>
      <c r="K467">
        <v>0</v>
      </c>
      <c r="L467">
        <v>0</v>
      </c>
      <c r="M467">
        <v>0</v>
      </c>
      <c r="N467">
        <v>1</v>
      </c>
      <c r="O467">
        <v>0</v>
      </c>
      <c r="P467">
        <v>0</v>
      </c>
      <c r="Q467">
        <v>4</v>
      </c>
      <c r="R467">
        <v>0</v>
      </c>
      <c r="S467">
        <v>5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4</v>
      </c>
    </row>
    <row r="468" spans="1:25" x14ac:dyDescent="0.35">
      <c r="A468">
        <v>3443</v>
      </c>
      <c r="B468" t="s">
        <v>170</v>
      </c>
      <c r="C468" t="s">
        <v>3</v>
      </c>
      <c r="D468" t="s">
        <v>208</v>
      </c>
      <c r="E468">
        <v>0</v>
      </c>
      <c r="F468">
        <v>0</v>
      </c>
      <c r="G468">
        <v>0</v>
      </c>
      <c r="H468" t="s">
        <v>297</v>
      </c>
      <c r="I468">
        <v>5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4</v>
      </c>
      <c r="R468">
        <v>0</v>
      </c>
      <c r="S468">
        <v>5</v>
      </c>
      <c r="T468">
        <v>0</v>
      </c>
      <c r="U468">
        <v>0</v>
      </c>
      <c r="V468">
        <v>0</v>
      </c>
      <c r="W468">
        <v>0</v>
      </c>
      <c r="X468">
        <v>1</v>
      </c>
      <c r="Y468" t="s">
        <v>4</v>
      </c>
    </row>
    <row r="469" spans="1:25" x14ac:dyDescent="0.35">
      <c r="A469">
        <v>3445</v>
      </c>
      <c r="B469" t="s">
        <v>170</v>
      </c>
      <c r="C469" t="s">
        <v>3</v>
      </c>
      <c r="D469" t="s">
        <v>208</v>
      </c>
      <c r="E469">
        <v>1</v>
      </c>
      <c r="F469">
        <v>0</v>
      </c>
      <c r="G469">
        <v>0</v>
      </c>
      <c r="H469" t="s">
        <v>297</v>
      </c>
      <c r="I469">
        <v>5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1</v>
      </c>
      <c r="P469">
        <v>0</v>
      </c>
      <c r="Q469">
        <v>4</v>
      </c>
      <c r="R469">
        <v>0</v>
      </c>
      <c r="S469">
        <v>5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4</v>
      </c>
    </row>
    <row r="470" spans="1:25" x14ac:dyDescent="0.35">
      <c r="A470">
        <v>3446</v>
      </c>
      <c r="B470" t="s">
        <v>170</v>
      </c>
      <c r="C470" t="s">
        <v>3</v>
      </c>
      <c r="D470" t="s">
        <v>208</v>
      </c>
      <c r="E470">
        <v>0</v>
      </c>
      <c r="F470">
        <v>0</v>
      </c>
      <c r="G470">
        <v>1</v>
      </c>
      <c r="H470" t="s">
        <v>297</v>
      </c>
      <c r="I470">
        <v>6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2</v>
      </c>
      <c r="R470">
        <v>0</v>
      </c>
      <c r="S470">
        <v>6</v>
      </c>
      <c r="T470">
        <v>2</v>
      </c>
      <c r="U470">
        <v>0</v>
      </c>
      <c r="V470">
        <v>0</v>
      </c>
      <c r="W470">
        <v>0</v>
      </c>
      <c r="X470">
        <v>0</v>
      </c>
      <c r="Y470" t="s">
        <v>4</v>
      </c>
    </row>
    <row r="471" spans="1:25" x14ac:dyDescent="0.35">
      <c r="A471">
        <v>3471</v>
      </c>
      <c r="B471" t="s">
        <v>170</v>
      </c>
      <c r="C471" t="s">
        <v>3</v>
      </c>
      <c r="D471" t="s">
        <v>208</v>
      </c>
      <c r="E471">
        <v>0</v>
      </c>
      <c r="F471">
        <v>0</v>
      </c>
      <c r="G471">
        <v>1</v>
      </c>
      <c r="H471" t="s">
        <v>297</v>
      </c>
      <c r="I471">
        <v>6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3</v>
      </c>
      <c r="Q471">
        <v>0</v>
      </c>
      <c r="R471">
        <v>0</v>
      </c>
      <c r="S471">
        <v>6</v>
      </c>
      <c r="T471">
        <v>0</v>
      </c>
      <c r="U471">
        <v>0</v>
      </c>
      <c r="V471">
        <v>0</v>
      </c>
      <c r="W471">
        <v>0</v>
      </c>
      <c r="X471">
        <v>1</v>
      </c>
      <c r="Y471" t="s">
        <v>4</v>
      </c>
    </row>
    <row r="472" spans="1:25" x14ac:dyDescent="0.35">
      <c r="A472">
        <v>3483</v>
      </c>
      <c r="B472" t="s">
        <v>170</v>
      </c>
      <c r="C472" t="s">
        <v>3</v>
      </c>
      <c r="D472" t="s">
        <v>208</v>
      </c>
      <c r="E472">
        <v>1</v>
      </c>
      <c r="F472">
        <v>0</v>
      </c>
      <c r="G472">
        <v>0</v>
      </c>
      <c r="H472" t="s">
        <v>297</v>
      </c>
      <c r="I472">
        <v>8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1</v>
      </c>
      <c r="Q472">
        <v>0</v>
      </c>
      <c r="R472">
        <v>0</v>
      </c>
      <c r="S472">
        <v>8</v>
      </c>
      <c r="T472">
        <v>0</v>
      </c>
      <c r="U472">
        <v>1</v>
      </c>
      <c r="V472">
        <v>0</v>
      </c>
      <c r="W472">
        <v>0</v>
      </c>
      <c r="X472">
        <v>0</v>
      </c>
      <c r="Y472" t="s">
        <v>4</v>
      </c>
    </row>
    <row r="473" spans="1:25" x14ac:dyDescent="0.35">
      <c r="A473">
        <v>3486</v>
      </c>
      <c r="B473" t="s">
        <v>170</v>
      </c>
      <c r="C473" t="s">
        <v>3</v>
      </c>
      <c r="D473" t="s">
        <v>208</v>
      </c>
      <c r="E473">
        <v>0</v>
      </c>
      <c r="F473">
        <v>0</v>
      </c>
      <c r="G473">
        <v>0</v>
      </c>
      <c r="H473" t="s">
        <v>297</v>
      </c>
      <c r="I473">
        <v>5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3</v>
      </c>
      <c r="P473">
        <v>0</v>
      </c>
      <c r="Q473">
        <v>0</v>
      </c>
      <c r="R473">
        <v>0</v>
      </c>
      <c r="S473">
        <v>5</v>
      </c>
      <c r="T473">
        <v>2</v>
      </c>
      <c r="U473">
        <v>0</v>
      </c>
      <c r="V473">
        <v>0</v>
      </c>
      <c r="W473">
        <v>0</v>
      </c>
      <c r="X473">
        <v>0</v>
      </c>
      <c r="Y473" t="s">
        <v>4</v>
      </c>
    </row>
    <row r="474" spans="1:25" x14ac:dyDescent="0.35">
      <c r="A474">
        <v>3693</v>
      </c>
      <c r="B474" t="s">
        <v>170</v>
      </c>
      <c r="C474" t="s">
        <v>4</v>
      </c>
      <c r="D474" t="s">
        <v>208</v>
      </c>
      <c r="E474">
        <v>1</v>
      </c>
      <c r="F474">
        <v>0</v>
      </c>
      <c r="G474">
        <v>0</v>
      </c>
      <c r="H474" t="s">
        <v>297</v>
      </c>
      <c r="I474">
        <v>8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1</v>
      </c>
      <c r="P474">
        <v>0</v>
      </c>
      <c r="Q474">
        <v>0</v>
      </c>
      <c r="R474">
        <v>0</v>
      </c>
      <c r="S474">
        <v>0</v>
      </c>
      <c r="T474">
        <v>8</v>
      </c>
      <c r="U474">
        <v>0</v>
      </c>
      <c r="V474">
        <v>0</v>
      </c>
      <c r="W474">
        <v>0</v>
      </c>
      <c r="X474">
        <v>0</v>
      </c>
      <c r="Y474" t="s">
        <v>4</v>
      </c>
    </row>
    <row r="475" spans="1:25" x14ac:dyDescent="0.35">
      <c r="A475">
        <v>3737</v>
      </c>
      <c r="B475" t="s">
        <v>170</v>
      </c>
      <c r="C475" t="s">
        <v>4</v>
      </c>
      <c r="D475" t="s">
        <v>208</v>
      </c>
      <c r="E475">
        <v>1</v>
      </c>
      <c r="F475">
        <v>0</v>
      </c>
      <c r="G475">
        <v>0</v>
      </c>
      <c r="H475" t="s">
        <v>297</v>
      </c>
      <c r="I475">
        <v>7</v>
      </c>
      <c r="J475">
        <v>0</v>
      </c>
      <c r="K475">
        <v>0</v>
      </c>
      <c r="L475">
        <v>0</v>
      </c>
      <c r="M475">
        <v>2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7</v>
      </c>
      <c r="U475">
        <v>0</v>
      </c>
      <c r="V475">
        <v>1</v>
      </c>
      <c r="W475">
        <v>0</v>
      </c>
      <c r="X475">
        <v>0</v>
      </c>
      <c r="Y475" t="s">
        <v>4</v>
      </c>
    </row>
    <row r="476" spans="1:25" x14ac:dyDescent="0.35">
      <c r="A476">
        <v>3131</v>
      </c>
      <c r="B476" t="s">
        <v>147</v>
      </c>
      <c r="C476" t="s">
        <v>5</v>
      </c>
      <c r="D476" t="s">
        <v>232</v>
      </c>
      <c r="E476">
        <v>0</v>
      </c>
      <c r="F476">
        <v>0</v>
      </c>
      <c r="G476">
        <v>1</v>
      </c>
      <c r="H476" t="s">
        <v>297</v>
      </c>
      <c r="I476">
        <v>8</v>
      </c>
      <c r="J476">
        <v>0</v>
      </c>
      <c r="K476">
        <v>0</v>
      </c>
      <c r="L476">
        <v>0</v>
      </c>
      <c r="M476">
        <v>0</v>
      </c>
      <c r="N476">
        <v>8</v>
      </c>
      <c r="O476">
        <v>1</v>
      </c>
      <c r="P476">
        <v>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 t="s">
        <v>7</v>
      </c>
    </row>
    <row r="477" spans="1:25" x14ac:dyDescent="0.35">
      <c r="A477">
        <v>3132</v>
      </c>
      <c r="B477" t="s">
        <v>147</v>
      </c>
      <c r="C477" t="s">
        <v>5</v>
      </c>
      <c r="D477" t="s">
        <v>232</v>
      </c>
      <c r="E477">
        <v>0</v>
      </c>
      <c r="F477">
        <v>0</v>
      </c>
      <c r="G477">
        <v>0</v>
      </c>
      <c r="H477" t="s">
        <v>297</v>
      </c>
      <c r="I477">
        <v>5</v>
      </c>
      <c r="J477">
        <v>0</v>
      </c>
      <c r="K477">
        <v>0</v>
      </c>
      <c r="L477">
        <v>0</v>
      </c>
      <c r="M477">
        <v>0</v>
      </c>
      <c r="N477">
        <v>5</v>
      </c>
      <c r="O477">
        <v>3</v>
      </c>
      <c r="P477">
        <v>0</v>
      </c>
      <c r="Q477">
        <v>0</v>
      </c>
      <c r="R477">
        <v>0</v>
      </c>
      <c r="S477">
        <v>2</v>
      </c>
      <c r="T477">
        <v>0</v>
      </c>
      <c r="U477">
        <v>0</v>
      </c>
      <c r="V477">
        <v>0</v>
      </c>
      <c r="W477">
        <v>0</v>
      </c>
      <c r="X477">
        <v>0</v>
      </c>
      <c r="Y477" t="s">
        <v>7</v>
      </c>
    </row>
    <row r="478" spans="1:25" x14ac:dyDescent="0.35">
      <c r="A478">
        <v>3138</v>
      </c>
      <c r="B478" t="s">
        <v>147</v>
      </c>
      <c r="C478" t="s">
        <v>5</v>
      </c>
      <c r="D478" t="s">
        <v>232</v>
      </c>
      <c r="E478">
        <v>0</v>
      </c>
      <c r="F478">
        <v>0</v>
      </c>
      <c r="G478">
        <v>0</v>
      </c>
      <c r="H478" t="s">
        <v>297</v>
      </c>
      <c r="I478">
        <v>8</v>
      </c>
      <c r="J478">
        <v>0</v>
      </c>
      <c r="K478">
        <v>1</v>
      </c>
      <c r="L478">
        <v>0</v>
      </c>
      <c r="M478">
        <v>0</v>
      </c>
      <c r="N478">
        <v>8</v>
      </c>
      <c r="O478">
        <v>1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 t="s">
        <v>7</v>
      </c>
    </row>
    <row r="479" spans="1:25" x14ac:dyDescent="0.35">
      <c r="A479">
        <v>3139</v>
      </c>
      <c r="B479" t="s">
        <v>147</v>
      </c>
      <c r="C479" t="s">
        <v>5</v>
      </c>
      <c r="D479" t="s">
        <v>232</v>
      </c>
      <c r="E479">
        <v>1</v>
      </c>
      <c r="F479">
        <v>0</v>
      </c>
      <c r="G479">
        <v>0</v>
      </c>
      <c r="H479" t="s">
        <v>297</v>
      </c>
      <c r="I479">
        <v>8</v>
      </c>
      <c r="J479">
        <v>1</v>
      </c>
      <c r="K479">
        <v>0</v>
      </c>
      <c r="L479">
        <v>0</v>
      </c>
      <c r="M479">
        <v>0</v>
      </c>
      <c r="N479">
        <v>8</v>
      </c>
      <c r="O479">
        <v>1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 t="s">
        <v>7</v>
      </c>
    </row>
    <row r="480" spans="1:25" x14ac:dyDescent="0.35">
      <c r="A480">
        <v>3193</v>
      </c>
      <c r="B480" t="s">
        <v>147</v>
      </c>
      <c r="C480" t="s">
        <v>5</v>
      </c>
      <c r="D480" t="s">
        <v>232</v>
      </c>
      <c r="E480">
        <v>0</v>
      </c>
      <c r="F480">
        <v>0</v>
      </c>
      <c r="G480">
        <v>1</v>
      </c>
      <c r="H480" t="s">
        <v>297</v>
      </c>
      <c r="I480">
        <v>9</v>
      </c>
      <c r="J480">
        <v>0</v>
      </c>
      <c r="K480">
        <v>0</v>
      </c>
      <c r="L480">
        <v>0</v>
      </c>
      <c r="M480">
        <v>0</v>
      </c>
      <c r="N480">
        <v>9</v>
      </c>
      <c r="O480">
        <v>0</v>
      </c>
      <c r="P480">
        <v>0</v>
      </c>
      <c r="Q480">
        <v>0</v>
      </c>
      <c r="R480">
        <v>1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 t="s">
        <v>7</v>
      </c>
    </row>
    <row r="481" spans="1:25" x14ac:dyDescent="0.35">
      <c r="A481">
        <v>3220</v>
      </c>
      <c r="B481" t="s">
        <v>147</v>
      </c>
      <c r="C481" t="s">
        <v>5</v>
      </c>
      <c r="D481" t="s">
        <v>232</v>
      </c>
      <c r="E481">
        <v>0</v>
      </c>
      <c r="F481">
        <v>0</v>
      </c>
      <c r="G481">
        <v>0</v>
      </c>
      <c r="H481" t="s">
        <v>297</v>
      </c>
      <c r="I481">
        <v>7</v>
      </c>
      <c r="J481">
        <v>0</v>
      </c>
      <c r="K481">
        <v>0</v>
      </c>
      <c r="L481">
        <v>0</v>
      </c>
      <c r="M481">
        <v>2</v>
      </c>
      <c r="N481">
        <v>7</v>
      </c>
      <c r="O481">
        <v>0</v>
      </c>
      <c r="P481">
        <v>0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0</v>
      </c>
      <c r="W481">
        <v>0</v>
      </c>
      <c r="X481">
        <v>0</v>
      </c>
      <c r="Y481" t="s">
        <v>7</v>
      </c>
    </row>
    <row r="482" spans="1:25" x14ac:dyDescent="0.35">
      <c r="A482">
        <v>3235</v>
      </c>
      <c r="B482" t="s">
        <v>147</v>
      </c>
      <c r="C482" t="s">
        <v>5</v>
      </c>
      <c r="D482" t="s">
        <v>232</v>
      </c>
      <c r="E482">
        <v>0</v>
      </c>
      <c r="F482">
        <v>0</v>
      </c>
      <c r="G482">
        <v>0</v>
      </c>
      <c r="H482" t="s">
        <v>297</v>
      </c>
      <c r="I482">
        <v>6</v>
      </c>
      <c r="J482">
        <v>0</v>
      </c>
      <c r="K482">
        <v>0</v>
      </c>
      <c r="L482">
        <v>0</v>
      </c>
      <c r="M482">
        <v>0</v>
      </c>
      <c r="N482">
        <v>6</v>
      </c>
      <c r="O482">
        <v>3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1</v>
      </c>
      <c r="Y482" t="s">
        <v>7</v>
      </c>
    </row>
    <row r="483" spans="1:25" x14ac:dyDescent="0.35">
      <c r="A483">
        <v>3236</v>
      </c>
      <c r="B483" t="s">
        <v>147</v>
      </c>
      <c r="C483" t="s">
        <v>5</v>
      </c>
      <c r="D483" t="s">
        <v>232</v>
      </c>
      <c r="E483">
        <v>0</v>
      </c>
      <c r="F483">
        <v>0</v>
      </c>
      <c r="G483">
        <v>0</v>
      </c>
      <c r="H483" t="s">
        <v>297</v>
      </c>
      <c r="I483">
        <v>8</v>
      </c>
      <c r="J483">
        <v>0</v>
      </c>
      <c r="K483">
        <v>0</v>
      </c>
      <c r="L483">
        <v>0</v>
      </c>
      <c r="M483">
        <v>0</v>
      </c>
      <c r="N483">
        <v>8</v>
      </c>
      <c r="O483">
        <v>1</v>
      </c>
      <c r="P483">
        <v>0</v>
      </c>
      <c r="Q483">
        <v>0</v>
      </c>
      <c r="R483">
        <v>1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 t="s">
        <v>7</v>
      </c>
    </row>
    <row r="484" spans="1:25" x14ac:dyDescent="0.35">
      <c r="A484">
        <v>3243</v>
      </c>
      <c r="B484" t="s">
        <v>147</v>
      </c>
      <c r="C484" t="s">
        <v>5</v>
      </c>
      <c r="D484" t="s">
        <v>232</v>
      </c>
      <c r="E484">
        <v>1</v>
      </c>
      <c r="F484">
        <v>0</v>
      </c>
      <c r="G484">
        <v>0</v>
      </c>
      <c r="H484" t="s">
        <v>297</v>
      </c>
      <c r="I484">
        <v>8</v>
      </c>
      <c r="J484">
        <v>0</v>
      </c>
      <c r="K484">
        <v>0</v>
      </c>
      <c r="L484">
        <v>0</v>
      </c>
      <c r="M484">
        <v>0</v>
      </c>
      <c r="N484">
        <v>8</v>
      </c>
      <c r="O484">
        <v>1</v>
      </c>
      <c r="P484">
        <v>0</v>
      </c>
      <c r="Q484">
        <v>0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0</v>
      </c>
      <c r="X484">
        <v>0</v>
      </c>
      <c r="Y484" t="s">
        <v>7</v>
      </c>
    </row>
    <row r="485" spans="1:25" x14ac:dyDescent="0.35">
      <c r="A485">
        <v>3253</v>
      </c>
      <c r="B485" t="s">
        <v>147</v>
      </c>
      <c r="C485" t="s">
        <v>5</v>
      </c>
      <c r="D485" t="s">
        <v>232</v>
      </c>
      <c r="E485">
        <v>0</v>
      </c>
      <c r="F485">
        <v>0</v>
      </c>
      <c r="G485">
        <v>0</v>
      </c>
      <c r="H485" t="s">
        <v>297</v>
      </c>
      <c r="I485">
        <v>7</v>
      </c>
      <c r="J485">
        <v>0</v>
      </c>
      <c r="K485">
        <v>0</v>
      </c>
      <c r="L485">
        <v>0</v>
      </c>
      <c r="M485">
        <v>0</v>
      </c>
      <c r="N485">
        <v>7</v>
      </c>
      <c r="O485">
        <v>2</v>
      </c>
      <c r="P485">
        <v>0</v>
      </c>
      <c r="Q485">
        <v>0</v>
      </c>
      <c r="R485">
        <v>0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 t="s">
        <v>7</v>
      </c>
    </row>
    <row r="486" spans="1:25" x14ac:dyDescent="0.35">
      <c r="A486">
        <v>3254</v>
      </c>
      <c r="B486" t="s">
        <v>147</v>
      </c>
      <c r="C486" t="s">
        <v>5</v>
      </c>
      <c r="D486" t="s">
        <v>232</v>
      </c>
      <c r="E486">
        <v>1</v>
      </c>
      <c r="F486">
        <v>0</v>
      </c>
      <c r="G486">
        <v>0</v>
      </c>
      <c r="H486" t="s">
        <v>297</v>
      </c>
      <c r="I486">
        <v>7</v>
      </c>
      <c r="J486">
        <v>0</v>
      </c>
      <c r="K486">
        <v>1</v>
      </c>
      <c r="L486">
        <v>0</v>
      </c>
      <c r="M486">
        <v>0</v>
      </c>
      <c r="N486">
        <v>7</v>
      </c>
      <c r="O486">
        <v>2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 t="s">
        <v>7</v>
      </c>
    </row>
    <row r="487" spans="1:25" x14ac:dyDescent="0.35">
      <c r="A487">
        <v>3581</v>
      </c>
      <c r="B487" t="s">
        <v>147</v>
      </c>
      <c r="C487" t="s">
        <v>5</v>
      </c>
      <c r="D487" t="s">
        <v>232</v>
      </c>
      <c r="E487">
        <v>0</v>
      </c>
      <c r="F487">
        <v>0</v>
      </c>
      <c r="G487">
        <v>0</v>
      </c>
      <c r="H487" t="s">
        <v>297</v>
      </c>
      <c r="I487">
        <v>8</v>
      </c>
      <c r="J487">
        <v>0</v>
      </c>
      <c r="K487">
        <v>0</v>
      </c>
      <c r="L487">
        <v>0</v>
      </c>
      <c r="M487">
        <v>0</v>
      </c>
      <c r="N487">
        <v>8</v>
      </c>
      <c r="O487">
        <v>1</v>
      </c>
      <c r="P487">
        <v>0</v>
      </c>
      <c r="Q487">
        <v>1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 t="s">
        <v>7</v>
      </c>
    </row>
    <row r="488" spans="1:25" x14ac:dyDescent="0.35">
      <c r="A488">
        <v>3582</v>
      </c>
      <c r="B488" t="s">
        <v>147</v>
      </c>
      <c r="C488" t="s">
        <v>5</v>
      </c>
      <c r="D488" t="s">
        <v>232</v>
      </c>
      <c r="E488">
        <v>0</v>
      </c>
      <c r="F488">
        <v>1</v>
      </c>
      <c r="G488">
        <v>0</v>
      </c>
      <c r="H488" t="s">
        <v>297</v>
      </c>
      <c r="I488">
        <v>7</v>
      </c>
      <c r="J488">
        <v>1</v>
      </c>
      <c r="K488">
        <v>0</v>
      </c>
      <c r="L488">
        <v>0</v>
      </c>
      <c r="M488">
        <v>0</v>
      </c>
      <c r="N488">
        <v>7</v>
      </c>
      <c r="O488">
        <v>2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 t="s">
        <v>7</v>
      </c>
    </row>
    <row r="489" spans="1:25" x14ac:dyDescent="0.35">
      <c r="A489">
        <v>3584</v>
      </c>
      <c r="B489" t="s">
        <v>147</v>
      </c>
      <c r="C489" t="s">
        <v>5</v>
      </c>
      <c r="D489" t="s">
        <v>232</v>
      </c>
      <c r="E489">
        <v>0</v>
      </c>
      <c r="F489">
        <v>0</v>
      </c>
      <c r="G489">
        <v>0</v>
      </c>
      <c r="H489" t="s">
        <v>297</v>
      </c>
      <c r="I489">
        <v>8</v>
      </c>
      <c r="J489">
        <v>0</v>
      </c>
      <c r="K489">
        <v>0</v>
      </c>
      <c r="L489">
        <v>0</v>
      </c>
      <c r="M489">
        <v>0</v>
      </c>
      <c r="N489">
        <v>8</v>
      </c>
      <c r="O489">
        <v>1</v>
      </c>
      <c r="P489">
        <v>0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 t="s">
        <v>7</v>
      </c>
    </row>
    <row r="490" spans="1:25" x14ac:dyDescent="0.35">
      <c r="A490">
        <v>3587</v>
      </c>
      <c r="B490" t="s">
        <v>147</v>
      </c>
      <c r="C490" t="s">
        <v>5</v>
      </c>
      <c r="D490" t="s">
        <v>232</v>
      </c>
      <c r="E490">
        <v>0</v>
      </c>
      <c r="F490">
        <v>1</v>
      </c>
      <c r="G490">
        <v>0</v>
      </c>
      <c r="H490" t="s">
        <v>297</v>
      </c>
      <c r="I490">
        <v>7</v>
      </c>
      <c r="J490">
        <v>0</v>
      </c>
      <c r="K490">
        <v>0</v>
      </c>
      <c r="L490">
        <v>0</v>
      </c>
      <c r="M490">
        <v>0</v>
      </c>
      <c r="N490">
        <v>7</v>
      </c>
      <c r="O490">
        <v>2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0</v>
      </c>
      <c r="W490">
        <v>0</v>
      </c>
      <c r="X490">
        <v>0</v>
      </c>
      <c r="Y490" t="s">
        <v>7</v>
      </c>
    </row>
    <row r="491" spans="1:25" x14ac:dyDescent="0.35">
      <c r="A491">
        <v>3595</v>
      </c>
      <c r="B491" t="s">
        <v>147</v>
      </c>
      <c r="C491" t="s">
        <v>5</v>
      </c>
      <c r="D491" t="s">
        <v>232</v>
      </c>
      <c r="E491">
        <v>1</v>
      </c>
      <c r="F491">
        <v>0</v>
      </c>
      <c r="G491">
        <v>0</v>
      </c>
      <c r="H491" t="s">
        <v>297</v>
      </c>
      <c r="I491">
        <v>8</v>
      </c>
      <c r="J491">
        <v>0</v>
      </c>
      <c r="K491">
        <v>1</v>
      </c>
      <c r="L491">
        <v>0</v>
      </c>
      <c r="M491">
        <v>0</v>
      </c>
      <c r="N491">
        <v>8</v>
      </c>
      <c r="O491">
        <v>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 t="s">
        <v>7</v>
      </c>
    </row>
    <row r="492" spans="1:25" x14ac:dyDescent="0.35">
      <c r="A492">
        <v>3603</v>
      </c>
      <c r="B492" t="s">
        <v>147</v>
      </c>
      <c r="C492" t="s">
        <v>5</v>
      </c>
      <c r="D492" t="s">
        <v>232</v>
      </c>
      <c r="E492">
        <v>0</v>
      </c>
      <c r="F492">
        <v>0</v>
      </c>
      <c r="G492">
        <v>0</v>
      </c>
      <c r="H492" t="s">
        <v>297</v>
      </c>
      <c r="I492">
        <v>7</v>
      </c>
      <c r="J492">
        <v>0</v>
      </c>
      <c r="K492">
        <v>0</v>
      </c>
      <c r="L492">
        <v>0</v>
      </c>
      <c r="M492">
        <v>0</v>
      </c>
      <c r="N492">
        <v>7</v>
      </c>
      <c r="O492">
        <v>2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0</v>
      </c>
      <c r="W492">
        <v>0</v>
      </c>
      <c r="X492">
        <v>0</v>
      </c>
      <c r="Y492" t="s">
        <v>7</v>
      </c>
    </row>
    <row r="493" spans="1:25" x14ac:dyDescent="0.35">
      <c r="A493">
        <v>3620</v>
      </c>
      <c r="B493" t="s">
        <v>147</v>
      </c>
      <c r="C493" t="s">
        <v>5</v>
      </c>
      <c r="D493" t="s">
        <v>232</v>
      </c>
      <c r="E493">
        <v>1</v>
      </c>
      <c r="F493">
        <v>0</v>
      </c>
      <c r="G493">
        <v>0</v>
      </c>
      <c r="H493" t="s">
        <v>297</v>
      </c>
      <c r="I493">
        <v>7</v>
      </c>
      <c r="J493">
        <v>0</v>
      </c>
      <c r="K493">
        <v>0</v>
      </c>
      <c r="L493">
        <v>0</v>
      </c>
      <c r="M493">
        <v>0</v>
      </c>
      <c r="N493">
        <v>7</v>
      </c>
      <c r="O493">
        <v>2</v>
      </c>
      <c r="P493">
        <v>0</v>
      </c>
      <c r="Q493">
        <v>0</v>
      </c>
      <c r="R493">
        <v>1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7</v>
      </c>
    </row>
    <row r="494" spans="1:25" x14ac:dyDescent="0.35">
      <c r="A494">
        <v>3652</v>
      </c>
      <c r="B494" t="s">
        <v>147</v>
      </c>
      <c r="C494" t="s">
        <v>5</v>
      </c>
      <c r="D494" t="s">
        <v>232</v>
      </c>
      <c r="E494">
        <v>1</v>
      </c>
      <c r="F494">
        <v>0</v>
      </c>
      <c r="G494">
        <v>0</v>
      </c>
      <c r="H494" t="s">
        <v>297</v>
      </c>
      <c r="I494">
        <v>6</v>
      </c>
      <c r="J494">
        <v>0</v>
      </c>
      <c r="K494">
        <v>0</v>
      </c>
      <c r="L494">
        <v>0</v>
      </c>
      <c r="M494">
        <v>0</v>
      </c>
      <c r="N494">
        <v>6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3</v>
      </c>
      <c r="U494">
        <v>0</v>
      </c>
      <c r="V494">
        <v>0</v>
      </c>
      <c r="W494">
        <v>0</v>
      </c>
      <c r="X494">
        <v>1</v>
      </c>
      <c r="Y494" t="s">
        <v>7</v>
      </c>
    </row>
    <row r="495" spans="1:25" x14ac:dyDescent="0.35">
      <c r="A495">
        <v>3686</v>
      </c>
      <c r="B495" t="s">
        <v>147</v>
      </c>
      <c r="C495" t="s">
        <v>5</v>
      </c>
      <c r="D495" t="s">
        <v>232</v>
      </c>
      <c r="E495">
        <v>1</v>
      </c>
      <c r="F495">
        <v>0</v>
      </c>
      <c r="G495">
        <v>0</v>
      </c>
      <c r="H495" t="s">
        <v>297</v>
      </c>
      <c r="I495">
        <v>7</v>
      </c>
      <c r="J495">
        <v>0</v>
      </c>
      <c r="K495">
        <v>0</v>
      </c>
      <c r="L495">
        <v>0</v>
      </c>
      <c r="M495">
        <v>0</v>
      </c>
      <c r="N495">
        <v>7</v>
      </c>
      <c r="O495">
        <v>0</v>
      </c>
      <c r="P495">
        <v>0</v>
      </c>
      <c r="Q495">
        <v>2</v>
      </c>
      <c r="R495">
        <v>0</v>
      </c>
      <c r="S495">
        <v>0</v>
      </c>
      <c r="T495">
        <v>1</v>
      </c>
      <c r="U495">
        <v>0</v>
      </c>
      <c r="V495">
        <v>0</v>
      </c>
      <c r="W495">
        <v>0</v>
      </c>
      <c r="X495">
        <v>0</v>
      </c>
      <c r="Y495" t="s">
        <v>7</v>
      </c>
    </row>
    <row r="496" spans="1:25" x14ac:dyDescent="0.35">
      <c r="A496">
        <v>3687</v>
      </c>
      <c r="B496" t="s">
        <v>147</v>
      </c>
      <c r="C496" t="s">
        <v>5</v>
      </c>
      <c r="D496" t="s">
        <v>232</v>
      </c>
      <c r="E496">
        <v>1</v>
      </c>
      <c r="F496">
        <v>0</v>
      </c>
      <c r="G496">
        <v>0</v>
      </c>
      <c r="H496" t="s">
        <v>297</v>
      </c>
      <c r="I496">
        <v>8</v>
      </c>
      <c r="J496">
        <v>0</v>
      </c>
      <c r="K496">
        <v>0</v>
      </c>
      <c r="L496">
        <v>0</v>
      </c>
      <c r="M496">
        <v>0</v>
      </c>
      <c r="N496">
        <v>8</v>
      </c>
      <c r="O496">
        <v>0</v>
      </c>
      <c r="P496">
        <v>0</v>
      </c>
      <c r="Q496">
        <v>1</v>
      </c>
      <c r="R496">
        <v>1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 t="s">
        <v>7</v>
      </c>
    </row>
    <row r="497" spans="1:25" x14ac:dyDescent="0.35">
      <c r="A497">
        <v>3173</v>
      </c>
      <c r="B497" t="s">
        <v>153</v>
      </c>
      <c r="C497" t="s">
        <v>8</v>
      </c>
      <c r="D497" t="s">
        <v>208</v>
      </c>
      <c r="E497">
        <v>1</v>
      </c>
      <c r="F497">
        <v>0</v>
      </c>
      <c r="G497">
        <v>0</v>
      </c>
      <c r="H497" t="s">
        <v>297</v>
      </c>
      <c r="I497">
        <v>5</v>
      </c>
      <c r="J497">
        <v>1</v>
      </c>
      <c r="K497">
        <v>4</v>
      </c>
      <c r="L497">
        <v>0</v>
      </c>
      <c r="M497">
        <v>5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 t="s">
        <v>8</v>
      </c>
    </row>
    <row r="498" spans="1:25" x14ac:dyDescent="0.35">
      <c r="A498">
        <v>3255</v>
      </c>
      <c r="B498" t="s">
        <v>153</v>
      </c>
      <c r="C498" t="s">
        <v>8</v>
      </c>
      <c r="D498" t="s">
        <v>208</v>
      </c>
      <c r="E498">
        <v>1</v>
      </c>
      <c r="F498">
        <v>0</v>
      </c>
      <c r="G498">
        <v>1</v>
      </c>
      <c r="H498" t="s">
        <v>297</v>
      </c>
      <c r="I498">
        <v>7</v>
      </c>
      <c r="J498">
        <v>0</v>
      </c>
      <c r="K498">
        <v>0</v>
      </c>
      <c r="L498">
        <v>0</v>
      </c>
      <c r="M498">
        <v>7</v>
      </c>
      <c r="N498">
        <v>2</v>
      </c>
      <c r="O498">
        <v>1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 t="s">
        <v>8</v>
      </c>
    </row>
    <row r="499" spans="1:25" x14ac:dyDescent="0.35">
      <c r="A499">
        <v>3257</v>
      </c>
      <c r="B499" t="s">
        <v>153</v>
      </c>
      <c r="C499" t="s">
        <v>8</v>
      </c>
      <c r="D499" t="s">
        <v>208</v>
      </c>
      <c r="E499">
        <v>0</v>
      </c>
      <c r="F499">
        <v>0</v>
      </c>
      <c r="G499">
        <v>0</v>
      </c>
      <c r="H499" t="s">
        <v>297</v>
      </c>
      <c r="I499">
        <v>8</v>
      </c>
      <c r="J499">
        <v>0</v>
      </c>
      <c r="K499">
        <v>0</v>
      </c>
      <c r="L499">
        <v>1</v>
      </c>
      <c r="M499">
        <v>8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 t="s">
        <v>8</v>
      </c>
    </row>
    <row r="500" spans="1:25" x14ac:dyDescent="0.35">
      <c r="A500">
        <v>3258</v>
      </c>
      <c r="B500" t="s">
        <v>153</v>
      </c>
      <c r="C500" t="s">
        <v>8</v>
      </c>
      <c r="D500" t="s">
        <v>208</v>
      </c>
      <c r="E500">
        <v>1</v>
      </c>
      <c r="F500">
        <v>0</v>
      </c>
      <c r="G500">
        <v>0</v>
      </c>
      <c r="H500" t="s">
        <v>297</v>
      </c>
      <c r="I500">
        <v>6</v>
      </c>
      <c r="J500">
        <v>0</v>
      </c>
      <c r="K500">
        <v>0</v>
      </c>
      <c r="L500">
        <v>0</v>
      </c>
      <c r="M500">
        <v>6</v>
      </c>
      <c r="N500">
        <v>0</v>
      </c>
      <c r="O500">
        <v>3</v>
      </c>
      <c r="P500">
        <v>0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 t="s">
        <v>8</v>
      </c>
    </row>
    <row r="501" spans="1:25" x14ac:dyDescent="0.35">
      <c r="A501">
        <v>3265</v>
      </c>
      <c r="B501" t="s">
        <v>153</v>
      </c>
      <c r="C501" t="s">
        <v>8</v>
      </c>
      <c r="D501" t="s">
        <v>208</v>
      </c>
      <c r="E501">
        <v>1</v>
      </c>
      <c r="F501">
        <v>0</v>
      </c>
      <c r="G501">
        <v>0</v>
      </c>
      <c r="H501" t="s">
        <v>297</v>
      </c>
      <c r="I501">
        <v>7</v>
      </c>
      <c r="J501">
        <v>0</v>
      </c>
      <c r="K501">
        <v>0</v>
      </c>
      <c r="L501">
        <v>0</v>
      </c>
      <c r="M501">
        <v>7</v>
      </c>
      <c r="N501">
        <v>1</v>
      </c>
      <c r="O501">
        <v>2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 t="s">
        <v>8</v>
      </c>
    </row>
    <row r="502" spans="1:25" x14ac:dyDescent="0.35">
      <c r="A502">
        <v>3267</v>
      </c>
      <c r="B502" t="s">
        <v>153</v>
      </c>
      <c r="C502" t="s">
        <v>8</v>
      </c>
      <c r="D502" t="s">
        <v>208</v>
      </c>
      <c r="E502">
        <v>0</v>
      </c>
      <c r="F502">
        <v>0</v>
      </c>
      <c r="G502">
        <v>0</v>
      </c>
      <c r="H502" t="s">
        <v>297</v>
      </c>
      <c r="I502">
        <v>8</v>
      </c>
      <c r="J502">
        <v>0</v>
      </c>
      <c r="K502">
        <v>0</v>
      </c>
      <c r="L502">
        <v>0</v>
      </c>
      <c r="M502">
        <v>8</v>
      </c>
      <c r="N502">
        <v>1</v>
      </c>
      <c r="O502">
        <v>1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 t="s">
        <v>8</v>
      </c>
    </row>
    <row r="503" spans="1:25" x14ac:dyDescent="0.35">
      <c r="A503">
        <v>3273</v>
      </c>
      <c r="B503" t="s">
        <v>153</v>
      </c>
      <c r="C503" t="s">
        <v>8</v>
      </c>
      <c r="D503" t="s">
        <v>208</v>
      </c>
      <c r="E503">
        <v>1</v>
      </c>
      <c r="F503">
        <v>0</v>
      </c>
      <c r="G503">
        <v>0</v>
      </c>
      <c r="H503" t="s">
        <v>297</v>
      </c>
      <c r="I503">
        <v>5</v>
      </c>
      <c r="J503">
        <v>0</v>
      </c>
      <c r="K503">
        <v>0</v>
      </c>
      <c r="L503">
        <v>0</v>
      </c>
      <c r="M503">
        <v>5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4</v>
      </c>
      <c r="W503">
        <v>0</v>
      </c>
      <c r="X503">
        <v>0</v>
      </c>
      <c r="Y503" t="s">
        <v>8</v>
      </c>
    </row>
    <row r="504" spans="1:25" x14ac:dyDescent="0.35">
      <c r="A504">
        <v>3329</v>
      </c>
      <c r="B504" t="s">
        <v>153</v>
      </c>
      <c r="C504" t="s">
        <v>8</v>
      </c>
      <c r="D504" t="s">
        <v>208</v>
      </c>
      <c r="E504">
        <v>0</v>
      </c>
      <c r="F504">
        <v>0</v>
      </c>
      <c r="G504">
        <v>0</v>
      </c>
      <c r="H504" t="s">
        <v>297</v>
      </c>
      <c r="I504">
        <v>6</v>
      </c>
      <c r="J504">
        <v>0</v>
      </c>
      <c r="K504">
        <v>0</v>
      </c>
      <c r="L504">
        <v>0</v>
      </c>
      <c r="M504">
        <v>6</v>
      </c>
      <c r="N504">
        <v>2</v>
      </c>
      <c r="O504">
        <v>0</v>
      </c>
      <c r="P504">
        <v>0</v>
      </c>
      <c r="Q504">
        <v>0</v>
      </c>
      <c r="R504">
        <v>0</v>
      </c>
      <c r="S504">
        <v>2</v>
      </c>
      <c r="T504">
        <v>0</v>
      </c>
      <c r="U504">
        <v>0</v>
      </c>
      <c r="V504">
        <v>0</v>
      </c>
      <c r="W504">
        <v>0</v>
      </c>
      <c r="X504">
        <v>0</v>
      </c>
      <c r="Y504" t="s">
        <v>8</v>
      </c>
    </row>
    <row r="505" spans="1:25" x14ac:dyDescent="0.35">
      <c r="A505">
        <v>3340</v>
      </c>
      <c r="B505" t="s">
        <v>153</v>
      </c>
      <c r="C505" t="s">
        <v>8</v>
      </c>
      <c r="D505" t="s">
        <v>208</v>
      </c>
      <c r="E505">
        <v>1</v>
      </c>
      <c r="F505">
        <v>0</v>
      </c>
      <c r="G505">
        <v>0</v>
      </c>
      <c r="H505" t="s">
        <v>297</v>
      </c>
      <c r="I505">
        <v>7</v>
      </c>
      <c r="J505">
        <v>0</v>
      </c>
      <c r="K505">
        <v>1</v>
      </c>
      <c r="L505">
        <v>0</v>
      </c>
      <c r="M505">
        <v>7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2</v>
      </c>
      <c r="W505">
        <v>0</v>
      </c>
      <c r="X505">
        <v>0</v>
      </c>
      <c r="Y505" t="s">
        <v>8</v>
      </c>
    </row>
    <row r="506" spans="1:25" x14ac:dyDescent="0.35">
      <c r="A506">
        <v>3341</v>
      </c>
      <c r="B506" t="s">
        <v>153</v>
      </c>
      <c r="C506" t="s">
        <v>8</v>
      </c>
      <c r="D506" t="s">
        <v>208</v>
      </c>
      <c r="E506">
        <v>0</v>
      </c>
      <c r="F506">
        <v>0</v>
      </c>
      <c r="G506">
        <v>0</v>
      </c>
      <c r="H506" t="s">
        <v>297</v>
      </c>
      <c r="I506">
        <v>8</v>
      </c>
      <c r="J506">
        <v>0</v>
      </c>
      <c r="K506">
        <v>0</v>
      </c>
      <c r="L506">
        <v>0</v>
      </c>
      <c r="M506">
        <v>8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0</v>
      </c>
      <c r="V506">
        <v>0</v>
      </c>
      <c r="W506">
        <v>0</v>
      </c>
      <c r="X506">
        <v>0</v>
      </c>
      <c r="Y506" t="s">
        <v>8</v>
      </c>
    </row>
    <row r="507" spans="1:25" x14ac:dyDescent="0.35">
      <c r="A507">
        <v>3392</v>
      </c>
      <c r="B507" t="s">
        <v>153</v>
      </c>
      <c r="C507" t="s">
        <v>8</v>
      </c>
      <c r="D507" t="s">
        <v>208</v>
      </c>
      <c r="E507">
        <v>1</v>
      </c>
      <c r="F507">
        <v>0</v>
      </c>
      <c r="G507">
        <v>0</v>
      </c>
      <c r="H507" t="s">
        <v>297</v>
      </c>
      <c r="I507">
        <v>6</v>
      </c>
      <c r="J507">
        <v>0</v>
      </c>
      <c r="K507">
        <v>2</v>
      </c>
      <c r="L507">
        <v>0</v>
      </c>
      <c r="M507">
        <v>6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2</v>
      </c>
      <c r="U507">
        <v>0</v>
      </c>
      <c r="V507">
        <v>0</v>
      </c>
      <c r="W507">
        <v>0</v>
      </c>
      <c r="X507">
        <v>0</v>
      </c>
      <c r="Y507" t="s">
        <v>8</v>
      </c>
    </row>
    <row r="508" spans="1:25" x14ac:dyDescent="0.35">
      <c r="A508">
        <v>3398</v>
      </c>
      <c r="B508" t="s">
        <v>153</v>
      </c>
      <c r="C508" t="s">
        <v>8</v>
      </c>
      <c r="D508" t="s">
        <v>208</v>
      </c>
      <c r="E508">
        <v>0</v>
      </c>
      <c r="F508">
        <v>0</v>
      </c>
      <c r="G508">
        <v>1</v>
      </c>
      <c r="H508" t="s">
        <v>297</v>
      </c>
      <c r="I508">
        <v>8</v>
      </c>
      <c r="J508">
        <v>0</v>
      </c>
      <c r="K508">
        <v>0</v>
      </c>
      <c r="L508">
        <v>0</v>
      </c>
      <c r="M508">
        <v>8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1</v>
      </c>
      <c r="U508">
        <v>0</v>
      </c>
      <c r="V508">
        <v>0</v>
      </c>
      <c r="W508">
        <v>0</v>
      </c>
      <c r="X508">
        <v>0</v>
      </c>
      <c r="Y508" t="s">
        <v>8</v>
      </c>
    </row>
    <row r="509" spans="1:25" x14ac:dyDescent="0.35">
      <c r="A509">
        <v>3407</v>
      </c>
      <c r="B509" t="s">
        <v>153</v>
      </c>
      <c r="C509" t="s">
        <v>8</v>
      </c>
      <c r="D509" t="s">
        <v>208</v>
      </c>
      <c r="E509">
        <v>1</v>
      </c>
      <c r="F509">
        <v>0</v>
      </c>
      <c r="G509">
        <v>0</v>
      </c>
      <c r="H509" t="s">
        <v>297</v>
      </c>
      <c r="I509">
        <v>6</v>
      </c>
      <c r="J509">
        <v>0</v>
      </c>
      <c r="K509">
        <v>0</v>
      </c>
      <c r="L509">
        <v>0</v>
      </c>
      <c r="M509">
        <v>6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3</v>
      </c>
      <c r="U509">
        <v>0</v>
      </c>
      <c r="V509">
        <v>0</v>
      </c>
      <c r="W509">
        <v>0</v>
      </c>
      <c r="X509">
        <v>1</v>
      </c>
      <c r="Y509" t="s">
        <v>8</v>
      </c>
    </row>
    <row r="510" spans="1:25" x14ac:dyDescent="0.35">
      <c r="A510">
        <v>3559</v>
      </c>
      <c r="B510" t="s">
        <v>153</v>
      </c>
      <c r="C510" t="s">
        <v>8</v>
      </c>
      <c r="D510" t="s">
        <v>208</v>
      </c>
      <c r="E510">
        <v>1</v>
      </c>
      <c r="F510">
        <v>0</v>
      </c>
      <c r="G510">
        <v>0</v>
      </c>
      <c r="H510" t="s">
        <v>297</v>
      </c>
      <c r="I510">
        <v>7</v>
      </c>
      <c r="J510">
        <v>0</v>
      </c>
      <c r="K510">
        <v>2</v>
      </c>
      <c r="L510">
        <v>0</v>
      </c>
      <c r="M510">
        <v>7</v>
      </c>
      <c r="N510">
        <v>1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 t="s">
        <v>8</v>
      </c>
    </row>
    <row r="511" spans="1:25" x14ac:dyDescent="0.35">
      <c r="A511">
        <v>3563</v>
      </c>
      <c r="B511" t="s">
        <v>153</v>
      </c>
      <c r="C511" t="s">
        <v>8</v>
      </c>
      <c r="D511" t="s">
        <v>208</v>
      </c>
      <c r="E511">
        <v>1</v>
      </c>
      <c r="F511">
        <v>0</v>
      </c>
      <c r="G511">
        <v>0</v>
      </c>
      <c r="H511" t="s">
        <v>297</v>
      </c>
      <c r="I511">
        <v>7</v>
      </c>
      <c r="J511">
        <v>0</v>
      </c>
      <c r="K511">
        <v>0</v>
      </c>
      <c r="L511">
        <v>0</v>
      </c>
      <c r="M511">
        <v>7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2</v>
      </c>
      <c r="U511">
        <v>0</v>
      </c>
      <c r="V511">
        <v>0</v>
      </c>
      <c r="W511">
        <v>0</v>
      </c>
      <c r="X511">
        <v>0</v>
      </c>
      <c r="Y511" t="s">
        <v>8</v>
      </c>
    </row>
    <row r="512" spans="1:25" x14ac:dyDescent="0.35">
      <c r="A512">
        <v>3568</v>
      </c>
      <c r="B512" t="s">
        <v>153</v>
      </c>
      <c r="C512" t="s">
        <v>8</v>
      </c>
      <c r="D512" t="s">
        <v>208</v>
      </c>
      <c r="E512">
        <v>1</v>
      </c>
      <c r="F512">
        <v>0</v>
      </c>
      <c r="G512">
        <v>0</v>
      </c>
      <c r="H512" t="s">
        <v>297</v>
      </c>
      <c r="I512">
        <v>5</v>
      </c>
      <c r="J512">
        <v>2</v>
      </c>
      <c r="K512">
        <v>3</v>
      </c>
      <c r="L512">
        <v>0</v>
      </c>
      <c r="M512">
        <v>5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 t="s">
        <v>8</v>
      </c>
    </row>
    <row r="513" spans="1:25" x14ac:dyDescent="0.35">
      <c r="A513">
        <v>3206</v>
      </c>
      <c r="B513" t="s">
        <v>141</v>
      </c>
      <c r="C513" t="s">
        <v>12</v>
      </c>
      <c r="D513" t="s">
        <v>230</v>
      </c>
      <c r="E513">
        <v>0</v>
      </c>
      <c r="F513">
        <v>0</v>
      </c>
      <c r="G513">
        <v>0</v>
      </c>
      <c r="H513" t="s">
        <v>297</v>
      </c>
      <c r="I513">
        <v>3</v>
      </c>
      <c r="J513">
        <v>0</v>
      </c>
      <c r="K513">
        <v>0</v>
      </c>
      <c r="L513">
        <v>3</v>
      </c>
      <c r="M513">
        <v>0</v>
      </c>
      <c r="N513">
        <v>0</v>
      </c>
      <c r="O513">
        <v>2</v>
      </c>
      <c r="P513">
        <v>0</v>
      </c>
      <c r="Q513">
        <v>0</v>
      </c>
      <c r="R513">
        <v>0</v>
      </c>
      <c r="S513">
        <v>5</v>
      </c>
      <c r="T513">
        <v>0</v>
      </c>
      <c r="U513">
        <v>0</v>
      </c>
      <c r="V513">
        <v>0</v>
      </c>
      <c r="W513">
        <v>0</v>
      </c>
      <c r="X513">
        <v>0</v>
      </c>
      <c r="Y513" t="s">
        <v>12</v>
      </c>
    </row>
    <row r="514" spans="1:25" x14ac:dyDescent="0.35">
      <c r="A514">
        <v>3213</v>
      </c>
      <c r="B514" t="s">
        <v>141</v>
      </c>
      <c r="C514" t="s">
        <v>9</v>
      </c>
      <c r="D514" t="s">
        <v>230</v>
      </c>
      <c r="E514">
        <v>1</v>
      </c>
      <c r="F514">
        <v>0</v>
      </c>
      <c r="G514">
        <v>0</v>
      </c>
      <c r="H514" t="s">
        <v>297</v>
      </c>
      <c r="I514">
        <v>8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1</v>
      </c>
      <c r="P514">
        <v>8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1</v>
      </c>
      <c r="Y514" t="s">
        <v>12</v>
      </c>
    </row>
    <row r="515" spans="1:25" x14ac:dyDescent="0.35">
      <c r="A515">
        <v>3278</v>
      </c>
      <c r="B515" t="s">
        <v>141</v>
      </c>
      <c r="C515" t="s">
        <v>9</v>
      </c>
      <c r="D515" t="s">
        <v>230</v>
      </c>
      <c r="E515">
        <v>1</v>
      </c>
      <c r="F515">
        <v>0</v>
      </c>
      <c r="G515">
        <v>1</v>
      </c>
      <c r="H515" t="s">
        <v>297</v>
      </c>
      <c r="I515">
        <v>4</v>
      </c>
      <c r="J515">
        <v>5</v>
      </c>
      <c r="K515">
        <v>1</v>
      </c>
      <c r="L515">
        <v>0</v>
      </c>
      <c r="M515">
        <v>0</v>
      </c>
      <c r="N515">
        <v>0</v>
      </c>
      <c r="O515">
        <v>0</v>
      </c>
      <c r="P515">
        <v>4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 t="s">
        <v>12</v>
      </c>
    </row>
    <row r="516" spans="1:25" x14ac:dyDescent="0.35">
      <c r="A516">
        <v>3472</v>
      </c>
      <c r="B516" t="s">
        <v>141</v>
      </c>
      <c r="C516" t="s">
        <v>9</v>
      </c>
      <c r="D516" t="s">
        <v>230</v>
      </c>
      <c r="E516">
        <v>0</v>
      </c>
      <c r="F516">
        <v>1</v>
      </c>
      <c r="G516">
        <v>0</v>
      </c>
      <c r="H516" t="s">
        <v>297</v>
      </c>
      <c r="I516">
        <v>4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4</v>
      </c>
      <c r="Q516">
        <v>1</v>
      </c>
      <c r="R516">
        <v>0</v>
      </c>
      <c r="S516">
        <v>5</v>
      </c>
      <c r="T516">
        <v>0</v>
      </c>
      <c r="U516">
        <v>0</v>
      </c>
      <c r="V516">
        <v>0</v>
      </c>
      <c r="W516">
        <v>0</v>
      </c>
      <c r="X516">
        <v>0</v>
      </c>
      <c r="Y516" t="s">
        <v>12</v>
      </c>
    </row>
    <row r="517" spans="1:25" x14ac:dyDescent="0.35">
      <c r="A517">
        <v>3521</v>
      </c>
      <c r="B517" t="s">
        <v>141</v>
      </c>
      <c r="C517" t="s">
        <v>9</v>
      </c>
      <c r="D517" t="s">
        <v>230</v>
      </c>
      <c r="E517">
        <v>1</v>
      </c>
      <c r="F517">
        <v>0</v>
      </c>
      <c r="G517">
        <v>0</v>
      </c>
      <c r="H517" t="s">
        <v>297</v>
      </c>
      <c r="I517">
        <v>3</v>
      </c>
      <c r="J517">
        <v>0</v>
      </c>
      <c r="K517">
        <v>0</v>
      </c>
      <c r="L517">
        <v>0</v>
      </c>
      <c r="M517">
        <v>5</v>
      </c>
      <c r="N517">
        <v>0</v>
      </c>
      <c r="O517">
        <v>0</v>
      </c>
      <c r="P517">
        <v>3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2</v>
      </c>
      <c r="Y517" t="s">
        <v>12</v>
      </c>
    </row>
    <row r="518" spans="1:25" x14ac:dyDescent="0.35">
      <c r="A518">
        <v>3527</v>
      </c>
      <c r="B518" t="s">
        <v>141</v>
      </c>
      <c r="C518" t="s">
        <v>12</v>
      </c>
      <c r="D518" t="s">
        <v>230</v>
      </c>
      <c r="E518">
        <v>1</v>
      </c>
      <c r="F518">
        <v>1</v>
      </c>
      <c r="G518">
        <v>0</v>
      </c>
      <c r="H518" t="s">
        <v>297</v>
      </c>
      <c r="I518">
        <v>6</v>
      </c>
      <c r="J518">
        <v>0</v>
      </c>
      <c r="K518">
        <v>0</v>
      </c>
      <c r="L518">
        <v>6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3</v>
      </c>
      <c r="T518">
        <v>1</v>
      </c>
      <c r="U518">
        <v>0</v>
      </c>
      <c r="V518">
        <v>0</v>
      </c>
      <c r="W518">
        <v>0</v>
      </c>
      <c r="X518">
        <v>0</v>
      </c>
      <c r="Y518" t="s">
        <v>12</v>
      </c>
    </row>
    <row r="519" spans="1:25" x14ac:dyDescent="0.35">
      <c r="A519">
        <v>3530</v>
      </c>
      <c r="B519" t="s">
        <v>141</v>
      </c>
      <c r="C519" t="s">
        <v>12</v>
      </c>
      <c r="D519" t="s">
        <v>230</v>
      </c>
      <c r="E519">
        <v>0</v>
      </c>
      <c r="F519">
        <v>0</v>
      </c>
      <c r="G519">
        <v>0</v>
      </c>
      <c r="H519" t="s">
        <v>297</v>
      </c>
      <c r="I519">
        <v>5</v>
      </c>
      <c r="J519">
        <v>0</v>
      </c>
      <c r="K519">
        <v>0</v>
      </c>
      <c r="L519">
        <v>5</v>
      </c>
      <c r="M519">
        <v>0</v>
      </c>
      <c r="N519">
        <v>0</v>
      </c>
      <c r="O519">
        <v>0</v>
      </c>
      <c r="P519">
        <v>2</v>
      </c>
      <c r="Q519">
        <v>3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 t="s">
        <v>12</v>
      </c>
    </row>
    <row r="520" spans="1:25" x14ac:dyDescent="0.35">
      <c r="A520">
        <v>3547</v>
      </c>
      <c r="B520" t="s">
        <v>141</v>
      </c>
      <c r="C520" t="s">
        <v>9</v>
      </c>
      <c r="D520" t="s">
        <v>230</v>
      </c>
      <c r="E520">
        <v>0</v>
      </c>
      <c r="F520">
        <v>0</v>
      </c>
      <c r="G520">
        <v>0</v>
      </c>
      <c r="H520" t="s">
        <v>297</v>
      </c>
      <c r="I520">
        <v>5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5</v>
      </c>
      <c r="Q520">
        <v>0</v>
      </c>
      <c r="R520">
        <v>0</v>
      </c>
      <c r="S520">
        <v>0</v>
      </c>
      <c r="T520">
        <v>4</v>
      </c>
      <c r="U520">
        <v>1</v>
      </c>
      <c r="V520">
        <v>0</v>
      </c>
      <c r="W520">
        <v>0</v>
      </c>
      <c r="X520">
        <v>0</v>
      </c>
      <c r="Y520" t="s">
        <v>12</v>
      </c>
    </row>
    <row r="521" spans="1:25" x14ac:dyDescent="0.35">
      <c r="A521">
        <v>3549</v>
      </c>
      <c r="B521" t="s">
        <v>141</v>
      </c>
      <c r="C521" t="s">
        <v>9</v>
      </c>
      <c r="D521" t="s">
        <v>230</v>
      </c>
      <c r="E521">
        <v>1</v>
      </c>
      <c r="F521">
        <v>0</v>
      </c>
      <c r="G521">
        <v>0</v>
      </c>
      <c r="H521" t="s">
        <v>297</v>
      </c>
      <c r="I521">
        <v>7</v>
      </c>
      <c r="J521">
        <v>0</v>
      </c>
      <c r="K521">
        <v>0</v>
      </c>
      <c r="L521">
        <v>0</v>
      </c>
      <c r="M521">
        <v>0</v>
      </c>
      <c r="N521">
        <v>2</v>
      </c>
      <c r="O521">
        <v>0</v>
      </c>
      <c r="P521">
        <v>7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1</v>
      </c>
      <c r="Y521" t="s">
        <v>12</v>
      </c>
    </row>
    <row r="522" spans="1:25" x14ac:dyDescent="0.35">
      <c r="A522">
        <v>3551</v>
      </c>
      <c r="B522" t="s">
        <v>141</v>
      </c>
      <c r="C522" t="s">
        <v>9</v>
      </c>
      <c r="D522" t="s">
        <v>230</v>
      </c>
      <c r="E522">
        <v>1</v>
      </c>
      <c r="F522">
        <v>0</v>
      </c>
      <c r="G522">
        <v>0</v>
      </c>
      <c r="H522" t="s">
        <v>297</v>
      </c>
      <c r="I522">
        <v>8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8</v>
      </c>
      <c r="Q522">
        <v>0</v>
      </c>
      <c r="R522">
        <v>0</v>
      </c>
      <c r="S522">
        <v>0</v>
      </c>
      <c r="T522">
        <v>1</v>
      </c>
      <c r="U522">
        <v>1</v>
      </c>
      <c r="V522">
        <v>0</v>
      </c>
      <c r="W522">
        <v>0</v>
      </c>
      <c r="X522">
        <v>0</v>
      </c>
      <c r="Y522" t="s">
        <v>12</v>
      </c>
    </row>
    <row r="523" spans="1:25" x14ac:dyDescent="0.35">
      <c r="A523">
        <v>3557</v>
      </c>
      <c r="B523" t="s">
        <v>141</v>
      </c>
      <c r="C523" t="s">
        <v>9</v>
      </c>
      <c r="D523" t="s">
        <v>230</v>
      </c>
      <c r="E523">
        <v>1</v>
      </c>
      <c r="F523">
        <v>0</v>
      </c>
      <c r="G523">
        <v>0</v>
      </c>
      <c r="H523" t="s">
        <v>297</v>
      </c>
      <c r="I523">
        <v>3</v>
      </c>
      <c r="J523">
        <v>0</v>
      </c>
      <c r="K523">
        <v>0</v>
      </c>
      <c r="L523">
        <v>0</v>
      </c>
      <c r="M523">
        <v>5</v>
      </c>
      <c r="N523">
        <v>0</v>
      </c>
      <c r="O523">
        <v>0</v>
      </c>
      <c r="P523">
        <v>3</v>
      </c>
      <c r="Q523">
        <v>0</v>
      </c>
      <c r="R523">
        <v>0</v>
      </c>
      <c r="S523">
        <v>0</v>
      </c>
      <c r="T523">
        <v>2</v>
      </c>
      <c r="U523">
        <v>0</v>
      </c>
      <c r="V523">
        <v>0</v>
      </c>
      <c r="W523">
        <v>0</v>
      </c>
      <c r="X523">
        <v>0</v>
      </c>
      <c r="Y523" t="s">
        <v>12</v>
      </c>
    </row>
    <row r="524" spans="1:25" x14ac:dyDescent="0.35">
      <c r="A524">
        <v>3641</v>
      </c>
      <c r="B524" t="s">
        <v>141</v>
      </c>
      <c r="C524" t="s">
        <v>12</v>
      </c>
      <c r="D524" t="s">
        <v>230</v>
      </c>
      <c r="E524">
        <v>1</v>
      </c>
      <c r="F524">
        <v>0</v>
      </c>
      <c r="G524">
        <v>1</v>
      </c>
      <c r="H524" t="s">
        <v>297</v>
      </c>
      <c r="I524">
        <v>8</v>
      </c>
      <c r="J524">
        <v>0</v>
      </c>
      <c r="K524">
        <v>0</v>
      </c>
      <c r="L524">
        <v>8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0</v>
      </c>
      <c r="V524">
        <v>0</v>
      </c>
      <c r="W524">
        <v>0</v>
      </c>
      <c r="X524">
        <v>0</v>
      </c>
      <c r="Y524" t="s">
        <v>12</v>
      </c>
    </row>
    <row r="525" spans="1:25" x14ac:dyDescent="0.35">
      <c r="A525">
        <v>3647</v>
      </c>
      <c r="B525" t="s">
        <v>141</v>
      </c>
      <c r="C525" t="s">
        <v>12</v>
      </c>
      <c r="D525" t="s">
        <v>230</v>
      </c>
      <c r="E525">
        <v>0</v>
      </c>
      <c r="F525">
        <v>0</v>
      </c>
      <c r="G525">
        <v>0</v>
      </c>
      <c r="H525" t="s">
        <v>297</v>
      </c>
      <c r="I525">
        <v>7</v>
      </c>
      <c r="J525">
        <v>0</v>
      </c>
      <c r="K525">
        <v>0</v>
      </c>
      <c r="L525">
        <v>7</v>
      </c>
      <c r="M525">
        <v>0</v>
      </c>
      <c r="N525">
        <v>0</v>
      </c>
      <c r="O525">
        <v>0</v>
      </c>
      <c r="P525">
        <v>2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 t="s">
        <v>12</v>
      </c>
    </row>
    <row r="526" spans="1:25" x14ac:dyDescent="0.35">
      <c r="A526">
        <v>3849</v>
      </c>
      <c r="B526" t="s">
        <v>141</v>
      </c>
      <c r="C526" t="s">
        <v>12</v>
      </c>
      <c r="D526" t="s">
        <v>230</v>
      </c>
      <c r="E526">
        <v>0</v>
      </c>
      <c r="F526">
        <v>0</v>
      </c>
      <c r="G526">
        <v>0</v>
      </c>
      <c r="H526" t="s">
        <v>297</v>
      </c>
      <c r="I526">
        <v>8</v>
      </c>
      <c r="J526">
        <v>0</v>
      </c>
      <c r="K526">
        <v>0</v>
      </c>
      <c r="L526">
        <v>8</v>
      </c>
      <c r="M526">
        <v>0</v>
      </c>
      <c r="N526">
        <v>0</v>
      </c>
      <c r="O526">
        <v>0</v>
      </c>
      <c r="P526">
        <v>1</v>
      </c>
      <c r="Q526">
        <v>0</v>
      </c>
      <c r="R526">
        <v>0</v>
      </c>
      <c r="S526">
        <v>1</v>
      </c>
      <c r="T526">
        <v>0</v>
      </c>
      <c r="U526">
        <v>0</v>
      </c>
      <c r="V526">
        <v>0</v>
      </c>
      <c r="W526">
        <v>0</v>
      </c>
      <c r="X526">
        <v>0</v>
      </c>
      <c r="Y526" t="s">
        <v>12</v>
      </c>
    </row>
    <row r="527" spans="1:25" x14ac:dyDescent="0.35">
      <c r="A527">
        <v>3060</v>
      </c>
      <c r="B527" t="s">
        <v>175</v>
      </c>
      <c r="C527" t="s">
        <v>7</v>
      </c>
      <c r="D527" t="s">
        <v>230</v>
      </c>
      <c r="E527">
        <v>1</v>
      </c>
      <c r="F527">
        <v>0</v>
      </c>
      <c r="G527">
        <v>0</v>
      </c>
      <c r="H527" t="s">
        <v>297</v>
      </c>
      <c r="I527">
        <v>6</v>
      </c>
      <c r="J527">
        <v>0</v>
      </c>
      <c r="K527">
        <v>0</v>
      </c>
      <c r="L527">
        <v>0</v>
      </c>
      <c r="M527">
        <v>0</v>
      </c>
      <c r="N527">
        <v>3</v>
      </c>
      <c r="O527">
        <v>6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 t="s">
        <v>7</v>
      </c>
    </row>
    <row r="528" spans="1:25" x14ac:dyDescent="0.35">
      <c r="A528">
        <v>3068</v>
      </c>
      <c r="B528" t="s">
        <v>175</v>
      </c>
      <c r="C528" t="s">
        <v>7</v>
      </c>
      <c r="D528" t="s">
        <v>230</v>
      </c>
      <c r="E528">
        <v>0</v>
      </c>
      <c r="F528">
        <v>0</v>
      </c>
      <c r="G528">
        <v>0</v>
      </c>
      <c r="H528" t="s">
        <v>297</v>
      </c>
      <c r="I528">
        <v>5</v>
      </c>
      <c r="J528">
        <v>0</v>
      </c>
      <c r="K528">
        <v>0</v>
      </c>
      <c r="L528">
        <v>0</v>
      </c>
      <c r="M528">
        <v>0</v>
      </c>
      <c r="N528">
        <v>4</v>
      </c>
      <c r="O528">
        <v>5</v>
      </c>
      <c r="P528">
        <v>0</v>
      </c>
      <c r="Q528">
        <v>0</v>
      </c>
      <c r="R528">
        <v>1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 t="s">
        <v>7</v>
      </c>
    </row>
    <row r="529" spans="1:25" x14ac:dyDescent="0.35">
      <c r="A529">
        <v>3073</v>
      </c>
      <c r="B529" t="s">
        <v>175</v>
      </c>
      <c r="C529" t="s">
        <v>7</v>
      </c>
      <c r="D529" t="s">
        <v>230</v>
      </c>
      <c r="E529">
        <v>0</v>
      </c>
      <c r="F529">
        <v>0</v>
      </c>
      <c r="G529">
        <v>1</v>
      </c>
      <c r="H529" t="s">
        <v>297</v>
      </c>
      <c r="I529">
        <v>7</v>
      </c>
      <c r="J529">
        <v>0</v>
      </c>
      <c r="K529">
        <v>0</v>
      </c>
      <c r="L529">
        <v>0</v>
      </c>
      <c r="M529">
        <v>0</v>
      </c>
      <c r="N529">
        <v>2</v>
      </c>
      <c r="O529">
        <v>7</v>
      </c>
      <c r="P529">
        <v>0</v>
      </c>
      <c r="Q529">
        <v>1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 t="s">
        <v>7</v>
      </c>
    </row>
    <row r="530" spans="1:25" x14ac:dyDescent="0.35">
      <c r="A530">
        <v>3106</v>
      </c>
      <c r="B530" t="s">
        <v>175</v>
      </c>
      <c r="C530" t="s">
        <v>7</v>
      </c>
      <c r="D530" t="s">
        <v>230</v>
      </c>
      <c r="E530">
        <v>1</v>
      </c>
      <c r="F530">
        <v>0</v>
      </c>
      <c r="G530">
        <v>0</v>
      </c>
      <c r="H530" t="s">
        <v>297</v>
      </c>
      <c r="I530">
        <v>7</v>
      </c>
      <c r="J530">
        <v>0</v>
      </c>
      <c r="K530">
        <v>0</v>
      </c>
      <c r="L530">
        <v>0</v>
      </c>
      <c r="M530">
        <v>0</v>
      </c>
      <c r="N530">
        <v>2</v>
      </c>
      <c r="O530">
        <v>7</v>
      </c>
      <c r="P530">
        <v>0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 t="s">
        <v>7</v>
      </c>
    </row>
    <row r="531" spans="1:25" x14ac:dyDescent="0.35">
      <c r="A531">
        <v>3448</v>
      </c>
      <c r="B531" t="s">
        <v>175</v>
      </c>
      <c r="C531" t="s">
        <v>7</v>
      </c>
      <c r="D531" t="s">
        <v>230</v>
      </c>
      <c r="E531">
        <v>0</v>
      </c>
      <c r="F531">
        <v>0</v>
      </c>
      <c r="G531">
        <v>0</v>
      </c>
      <c r="H531" t="s">
        <v>297</v>
      </c>
      <c r="I531">
        <v>6</v>
      </c>
      <c r="J531">
        <v>0</v>
      </c>
      <c r="K531">
        <v>0</v>
      </c>
      <c r="L531">
        <v>0</v>
      </c>
      <c r="M531">
        <v>0</v>
      </c>
      <c r="N531">
        <v>1</v>
      </c>
      <c r="O531">
        <v>6</v>
      </c>
      <c r="P531">
        <v>0</v>
      </c>
      <c r="Q531">
        <v>0</v>
      </c>
      <c r="R531">
        <v>0</v>
      </c>
      <c r="S531">
        <v>3</v>
      </c>
      <c r="T531">
        <v>0</v>
      </c>
      <c r="U531">
        <v>0</v>
      </c>
      <c r="V531">
        <v>0</v>
      </c>
      <c r="W531">
        <v>0</v>
      </c>
      <c r="X531">
        <v>0</v>
      </c>
      <c r="Y531" t="s">
        <v>7</v>
      </c>
    </row>
    <row r="532" spans="1:25" x14ac:dyDescent="0.35">
      <c r="A532">
        <v>3450</v>
      </c>
      <c r="B532" t="s">
        <v>175</v>
      </c>
      <c r="C532" t="s">
        <v>7</v>
      </c>
      <c r="D532" t="s">
        <v>230</v>
      </c>
      <c r="E532">
        <v>0</v>
      </c>
      <c r="F532">
        <v>0</v>
      </c>
      <c r="G532">
        <v>0</v>
      </c>
      <c r="H532" t="s">
        <v>297</v>
      </c>
      <c r="I532">
        <v>6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6</v>
      </c>
      <c r="P532">
        <v>0</v>
      </c>
      <c r="Q532">
        <v>0</v>
      </c>
      <c r="R532">
        <v>0</v>
      </c>
      <c r="S532">
        <v>2</v>
      </c>
      <c r="T532">
        <v>0</v>
      </c>
      <c r="U532">
        <v>0</v>
      </c>
      <c r="V532">
        <v>0</v>
      </c>
      <c r="W532">
        <v>0</v>
      </c>
      <c r="X532">
        <v>2</v>
      </c>
      <c r="Y532" t="s">
        <v>7</v>
      </c>
    </row>
    <row r="533" spans="1:25" x14ac:dyDescent="0.35">
      <c r="A533">
        <v>3460</v>
      </c>
      <c r="B533" t="s">
        <v>175</v>
      </c>
      <c r="C533" t="s">
        <v>7</v>
      </c>
      <c r="D533" t="s">
        <v>230</v>
      </c>
      <c r="E533">
        <v>0</v>
      </c>
      <c r="F533">
        <v>0</v>
      </c>
      <c r="G533">
        <v>0</v>
      </c>
      <c r="H533" t="s">
        <v>297</v>
      </c>
      <c r="I533">
        <v>5</v>
      </c>
      <c r="J533">
        <v>0</v>
      </c>
      <c r="K533">
        <v>0</v>
      </c>
      <c r="L533">
        <v>0</v>
      </c>
      <c r="M533">
        <v>0</v>
      </c>
      <c r="N533">
        <v>2</v>
      </c>
      <c r="O533">
        <v>5</v>
      </c>
      <c r="P533">
        <v>0</v>
      </c>
      <c r="Q533">
        <v>0</v>
      </c>
      <c r="R533">
        <v>0</v>
      </c>
      <c r="S533">
        <v>0</v>
      </c>
      <c r="T533">
        <v>3</v>
      </c>
      <c r="U533">
        <v>0</v>
      </c>
      <c r="V533">
        <v>0</v>
      </c>
      <c r="W533">
        <v>0</v>
      </c>
      <c r="X533">
        <v>0</v>
      </c>
      <c r="Y533" t="s">
        <v>7</v>
      </c>
    </row>
    <row r="534" spans="1:25" x14ac:dyDescent="0.35">
      <c r="A534">
        <v>3464</v>
      </c>
      <c r="B534" t="s">
        <v>175</v>
      </c>
      <c r="C534" t="s">
        <v>7</v>
      </c>
      <c r="D534" t="s">
        <v>230</v>
      </c>
      <c r="E534">
        <v>0</v>
      </c>
      <c r="F534">
        <v>0</v>
      </c>
      <c r="G534">
        <v>0</v>
      </c>
      <c r="H534" t="s">
        <v>297</v>
      </c>
      <c r="I534">
        <v>5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4</v>
      </c>
      <c r="T534">
        <v>1</v>
      </c>
      <c r="U534">
        <v>0</v>
      </c>
      <c r="V534">
        <v>0</v>
      </c>
      <c r="W534">
        <v>0</v>
      </c>
      <c r="X534">
        <v>0</v>
      </c>
      <c r="Y534" t="s">
        <v>7</v>
      </c>
    </row>
    <row r="535" spans="1:25" x14ac:dyDescent="0.35">
      <c r="A535">
        <v>3724</v>
      </c>
      <c r="B535" t="s">
        <v>175</v>
      </c>
      <c r="C535" t="s">
        <v>7</v>
      </c>
      <c r="D535" t="s">
        <v>230</v>
      </c>
      <c r="E535">
        <v>1</v>
      </c>
      <c r="F535">
        <v>0</v>
      </c>
      <c r="G535">
        <v>0</v>
      </c>
      <c r="H535" t="s">
        <v>297</v>
      </c>
      <c r="I535">
        <v>6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6</v>
      </c>
      <c r="P535">
        <v>0</v>
      </c>
      <c r="Q535">
        <v>0</v>
      </c>
      <c r="R535">
        <v>0</v>
      </c>
      <c r="S535">
        <v>3</v>
      </c>
      <c r="T535">
        <v>1</v>
      </c>
      <c r="U535">
        <v>0</v>
      </c>
      <c r="V535">
        <v>0</v>
      </c>
      <c r="W535">
        <v>0</v>
      </c>
      <c r="X535">
        <v>0</v>
      </c>
      <c r="Y535" t="s">
        <v>7</v>
      </c>
    </row>
    <row r="536" spans="1:25" x14ac:dyDescent="0.35">
      <c r="A536">
        <v>3734</v>
      </c>
      <c r="B536" t="s">
        <v>175</v>
      </c>
      <c r="C536" t="s">
        <v>7</v>
      </c>
      <c r="D536" t="s">
        <v>230</v>
      </c>
      <c r="E536">
        <v>0</v>
      </c>
      <c r="F536">
        <v>0</v>
      </c>
      <c r="G536">
        <v>1</v>
      </c>
      <c r="H536" t="s">
        <v>297</v>
      </c>
      <c r="I536">
        <v>8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8</v>
      </c>
      <c r="P536">
        <v>0</v>
      </c>
      <c r="Q536">
        <v>0</v>
      </c>
      <c r="R536">
        <v>0</v>
      </c>
      <c r="S536">
        <v>1</v>
      </c>
      <c r="T536">
        <v>0</v>
      </c>
      <c r="U536">
        <v>0</v>
      </c>
      <c r="V536">
        <v>0</v>
      </c>
      <c r="W536">
        <v>0</v>
      </c>
      <c r="X536">
        <v>1</v>
      </c>
      <c r="Y536" t="s">
        <v>7</v>
      </c>
    </row>
    <row r="537" spans="1:25" x14ac:dyDescent="0.35">
      <c r="A537">
        <v>3784</v>
      </c>
      <c r="B537" t="s">
        <v>175</v>
      </c>
      <c r="C537" t="s">
        <v>7</v>
      </c>
      <c r="D537" t="s">
        <v>230</v>
      </c>
      <c r="E537">
        <v>0</v>
      </c>
      <c r="F537">
        <v>0</v>
      </c>
      <c r="G537">
        <v>1</v>
      </c>
      <c r="H537" t="s">
        <v>297</v>
      </c>
      <c r="I537">
        <v>7</v>
      </c>
      <c r="J537">
        <v>0</v>
      </c>
      <c r="K537">
        <v>0</v>
      </c>
      <c r="L537">
        <v>0</v>
      </c>
      <c r="M537">
        <v>0</v>
      </c>
      <c r="N537">
        <v>2</v>
      </c>
      <c r="O537">
        <v>7</v>
      </c>
      <c r="P537">
        <v>0</v>
      </c>
      <c r="Q537">
        <v>0</v>
      </c>
      <c r="R537">
        <v>1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 t="s">
        <v>7</v>
      </c>
    </row>
    <row r="538" spans="1:25" x14ac:dyDescent="0.35">
      <c r="A538">
        <v>3785</v>
      </c>
      <c r="B538" t="s">
        <v>175</v>
      </c>
      <c r="C538" t="s">
        <v>7</v>
      </c>
      <c r="D538" t="s">
        <v>230</v>
      </c>
      <c r="E538">
        <v>0</v>
      </c>
      <c r="F538">
        <v>0</v>
      </c>
      <c r="G538">
        <v>0</v>
      </c>
      <c r="H538" t="s">
        <v>297</v>
      </c>
      <c r="I538">
        <v>7</v>
      </c>
      <c r="J538">
        <v>0</v>
      </c>
      <c r="K538">
        <v>1</v>
      </c>
      <c r="L538">
        <v>0</v>
      </c>
      <c r="M538">
        <v>0</v>
      </c>
      <c r="N538">
        <v>2</v>
      </c>
      <c r="O538">
        <v>7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 t="s">
        <v>7</v>
      </c>
    </row>
    <row r="539" spans="1:25" x14ac:dyDescent="0.35">
      <c r="A539">
        <v>3786</v>
      </c>
      <c r="B539" t="s">
        <v>175</v>
      </c>
      <c r="C539" t="s">
        <v>7</v>
      </c>
      <c r="D539" t="s">
        <v>230</v>
      </c>
      <c r="E539">
        <v>0</v>
      </c>
      <c r="F539">
        <v>0</v>
      </c>
      <c r="G539">
        <v>0</v>
      </c>
      <c r="H539" t="s">
        <v>297</v>
      </c>
      <c r="I539">
        <v>5</v>
      </c>
      <c r="J539">
        <v>2</v>
      </c>
      <c r="K539">
        <v>0</v>
      </c>
      <c r="L539">
        <v>0</v>
      </c>
      <c r="M539">
        <v>0</v>
      </c>
      <c r="N539">
        <v>3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 t="s">
        <v>7</v>
      </c>
    </row>
    <row r="540" spans="1:25" x14ac:dyDescent="0.35">
      <c r="A540">
        <v>3789</v>
      </c>
      <c r="B540" t="s">
        <v>175</v>
      </c>
      <c r="C540" t="s">
        <v>7</v>
      </c>
      <c r="D540" t="s">
        <v>230</v>
      </c>
      <c r="E540">
        <v>1</v>
      </c>
      <c r="F540">
        <v>0</v>
      </c>
      <c r="G540">
        <v>0</v>
      </c>
      <c r="H540" t="s">
        <v>297</v>
      </c>
      <c r="I540">
        <v>7</v>
      </c>
      <c r="J540">
        <v>0</v>
      </c>
      <c r="K540">
        <v>0</v>
      </c>
      <c r="L540">
        <v>0</v>
      </c>
      <c r="M540">
        <v>0</v>
      </c>
      <c r="N540">
        <v>2</v>
      </c>
      <c r="O540">
        <v>7</v>
      </c>
      <c r="P540">
        <v>0</v>
      </c>
      <c r="Q540">
        <v>0</v>
      </c>
      <c r="R540">
        <v>0</v>
      </c>
      <c r="S540">
        <v>0</v>
      </c>
      <c r="T540">
        <v>1</v>
      </c>
      <c r="U540">
        <v>0</v>
      </c>
      <c r="V540">
        <v>0</v>
      </c>
      <c r="W540">
        <v>0</v>
      </c>
      <c r="X540">
        <v>0</v>
      </c>
      <c r="Y540" t="s">
        <v>7</v>
      </c>
    </row>
    <row r="541" spans="1:25" x14ac:dyDescent="0.35">
      <c r="A541">
        <v>3797</v>
      </c>
      <c r="B541" t="s">
        <v>175</v>
      </c>
      <c r="C541" t="s">
        <v>7</v>
      </c>
      <c r="D541" t="s">
        <v>230</v>
      </c>
      <c r="E541">
        <v>1</v>
      </c>
      <c r="F541">
        <v>0</v>
      </c>
      <c r="G541">
        <v>1</v>
      </c>
      <c r="H541" t="s">
        <v>297</v>
      </c>
      <c r="I541">
        <v>5</v>
      </c>
      <c r="J541">
        <v>0</v>
      </c>
      <c r="K541">
        <v>0</v>
      </c>
      <c r="L541">
        <v>0</v>
      </c>
      <c r="M541">
        <v>0</v>
      </c>
      <c r="N541">
        <v>3</v>
      </c>
      <c r="O541">
        <v>5</v>
      </c>
      <c r="P541">
        <v>0</v>
      </c>
      <c r="Q541">
        <v>0</v>
      </c>
      <c r="R541">
        <v>0</v>
      </c>
      <c r="S541">
        <v>2</v>
      </c>
      <c r="T541">
        <v>0</v>
      </c>
      <c r="U541">
        <v>0</v>
      </c>
      <c r="V541">
        <v>0</v>
      </c>
      <c r="W541">
        <v>0</v>
      </c>
      <c r="X541">
        <v>0</v>
      </c>
      <c r="Y541" t="s">
        <v>7</v>
      </c>
    </row>
    <row r="542" spans="1:25" x14ac:dyDescent="0.35">
      <c r="A542">
        <v>3803</v>
      </c>
      <c r="B542" t="s">
        <v>175</v>
      </c>
      <c r="C542" t="s">
        <v>7</v>
      </c>
      <c r="D542" t="s">
        <v>230</v>
      </c>
      <c r="E542">
        <v>0</v>
      </c>
      <c r="F542">
        <v>0</v>
      </c>
      <c r="G542">
        <v>0</v>
      </c>
      <c r="H542" t="s">
        <v>297</v>
      </c>
      <c r="I542">
        <v>8</v>
      </c>
      <c r="J542">
        <v>0</v>
      </c>
      <c r="K542">
        <v>0</v>
      </c>
      <c r="L542">
        <v>0</v>
      </c>
      <c r="M542">
        <v>0</v>
      </c>
      <c r="N542">
        <v>1</v>
      </c>
      <c r="O542">
        <v>8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</v>
      </c>
      <c r="Y542" t="s">
        <v>7</v>
      </c>
    </row>
    <row r="543" spans="1:25" x14ac:dyDescent="0.35">
      <c r="A543">
        <v>3517</v>
      </c>
      <c r="B543" t="s">
        <v>142</v>
      </c>
      <c r="C543" t="s">
        <v>12</v>
      </c>
      <c r="D543" t="s">
        <v>230</v>
      </c>
      <c r="E543">
        <v>1</v>
      </c>
      <c r="F543">
        <v>0</v>
      </c>
      <c r="G543">
        <v>0</v>
      </c>
      <c r="H543" t="s">
        <v>297</v>
      </c>
      <c r="I543">
        <v>5</v>
      </c>
      <c r="J543">
        <v>0</v>
      </c>
      <c r="K543">
        <v>0</v>
      </c>
      <c r="L543">
        <v>5</v>
      </c>
      <c r="M543">
        <v>0</v>
      </c>
      <c r="N543">
        <v>0</v>
      </c>
      <c r="O543">
        <v>1</v>
      </c>
      <c r="P543">
        <v>0</v>
      </c>
      <c r="Q543">
        <v>0</v>
      </c>
      <c r="R543">
        <v>0</v>
      </c>
      <c r="S543">
        <v>4</v>
      </c>
      <c r="T543">
        <v>0</v>
      </c>
      <c r="U543">
        <v>0</v>
      </c>
      <c r="V543">
        <v>0</v>
      </c>
      <c r="W543">
        <v>0</v>
      </c>
      <c r="X543">
        <v>0</v>
      </c>
      <c r="Y543" t="s">
        <v>12</v>
      </c>
    </row>
    <row r="544" spans="1:25" x14ac:dyDescent="0.35">
      <c r="A544">
        <v>3518</v>
      </c>
      <c r="B544" t="s">
        <v>142</v>
      </c>
      <c r="C544" t="s">
        <v>12</v>
      </c>
      <c r="D544" t="s">
        <v>230</v>
      </c>
      <c r="E544">
        <v>0</v>
      </c>
      <c r="F544">
        <v>0</v>
      </c>
      <c r="G544">
        <v>1</v>
      </c>
      <c r="H544" t="s">
        <v>297</v>
      </c>
      <c r="I544">
        <v>8</v>
      </c>
      <c r="J544">
        <v>0</v>
      </c>
      <c r="K544">
        <v>0</v>
      </c>
      <c r="L544">
        <v>8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1</v>
      </c>
      <c r="S544">
        <v>0</v>
      </c>
      <c r="T544">
        <v>0</v>
      </c>
      <c r="U544">
        <v>1</v>
      </c>
      <c r="V544">
        <v>0</v>
      </c>
      <c r="W544">
        <v>0</v>
      </c>
      <c r="X544">
        <v>0</v>
      </c>
      <c r="Y544" t="s">
        <v>12</v>
      </c>
    </row>
    <row r="545" spans="1:25" x14ac:dyDescent="0.35">
      <c r="A545">
        <v>3520</v>
      </c>
      <c r="B545" t="s">
        <v>142</v>
      </c>
      <c r="C545" t="s">
        <v>12</v>
      </c>
      <c r="D545" t="s">
        <v>230</v>
      </c>
      <c r="E545">
        <v>0</v>
      </c>
      <c r="F545">
        <v>0</v>
      </c>
      <c r="G545">
        <v>1</v>
      </c>
      <c r="H545" t="s">
        <v>297</v>
      </c>
      <c r="I545">
        <v>8</v>
      </c>
      <c r="J545">
        <v>0</v>
      </c>
      <c r="K545">
        <v>0</v>
      </c>
      <c r="L545">
        <v>8</v>
      </c>
      <c r="M545">
        <v>0</v>
      </c>
      <c r="N545">
        <v>0</v>
      </c>
      <c r="O545">
        <v>1</v>
      </c>
      <c r="P545">
        <v>0</v>
      </c>
      <c r="Q545">
        <v>0</v>
      </c>
      <c r="R545">
        <v>0</v>
      </c>
      <c r="S545">
        <v>1</v>
      </c>
      <c r="T545">
        <v>0</v>
      </c>
      <c r="U545">
        <v>0</v>
      </c>
      <c r="V545">
        <v>0</v>
      </c>
      <c r="W545">
        <v>0</v>
      </c>
      <c r="X545">
        <v>0</v>
      </c>
      <c r="Y545" t="s">
        <v>12</v>
      </c>
    </row>
    <row r="546" spans="1:25" x14ac:dyDescent="0.35">
      <c r="A546">
        <v>3522</v>
      </c>
      <c r="B546" t="s">
        <v>142</v>
      </c>
      <c r="C546" t="s">
        <v>12</v>
      </c>
      <c r="D546" t="s">
        <v>230</v>
      </c>
      <c r="E546">
        <v>0</v>
      </c>
      <c r="F546">
        <v>0</v>
      </c>
      <c r="G546">
        <v>0</v>
      </c>
      <c r="H546" t="s">
        <v>297</v>
      </c>
      <c r="I546">
        <v>8</v>
      </c>
      <c r="J546">
        <v>0</v>
      </c>
      <c r="K546">
        <v>0</v>
      </c>
      <c r="L546">
        <v>8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  <c r="X546">
        <v>1</v>
      </c>
      <c r="Y546" t="s">
        <v>12</v>
      </c>
    </row>
    <row r="547" spans="1:25" x14ac:dyDescent="0.35">
      <c r="A547">
        <v>3523</v>
      </c>
      <c r="B547" t="s">
        <v>142</v>
      </c>
      <c r="C547" t="s">
        <v>12</v>
      </c>
      <c r="D547" t="s">
        <v>230</v>
      </c>
      <c r="E547">
        <v>1</v>
      </c>
      <c r="F547">
        <v>0</v>
      </c>
      <c r="G547">
        <v>0</v>
      </c>
      <c r="H547" t="s">
        <v>297</v>
      </c>
      <c r="I547">
        <v>6</v>
      </c>
      <c r="J547">
        <v>0</v>
      </c>
      <c r="K547">
        <v>0</v>
      </c>
      <c r="L547">
        <v>6</v>
      </c>
      <c r="M547">
        <v>0</v>
      </c>
      <c r="N547">
        <v>0</v>
      </c>
      <c r="O547">
        <v>0</v>
      </c>
      <c r="P547">
        <v>0</v>
      </c>
      <c r="Q547">
        <v>3</v>
      </c>
      <c r="R547">
        <v>1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 t="s">
        <v>12</v>
      </c>
    </row>
    <row r="548" spans="1:25" x14ac:dyDescent="0.35">
      <c r="A548">
        <v>3524</v>
      </c>
      <c r="B548" t="s">
        <v>142</v>
      </c>
      <c r="C548" t="s">
        <v>12</v>
      </c>
      <c r="D548" t="s">
        <v>230</v>
      </c>
      <c r="E548">
        <v>0</v>
      </c>
      <c r="F548">
        <v>0</v>
      </c>
      <c r="G548">
        <v>0</v>
      </c>
      <c r="H548" t="s">
        <v>297</v>
      </c>
      <c r="I548">
        <v>6</v>
      </c>
      <c r="J548">
        <v>0</v>
      </c>
      <c r="K548">
        <v>0</v>
      </c>
      <c r="L548">
        <v>6</v>
      </c>
      <c r="M548">
        <v>2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2</v>
      </c>
      <c r="T548">
        <v>0</v>
      </c>
      <c r="U548">
        <v>0</v>
      </c>
      <c r="V548">
        <v>0</v>
      </c>
      <c r="W548">
        <v>0</v>
      </c>
      <c r="X548">
        <v>0</v>
      </c>
      <c r="Y548" t="s">
        <v>12</v>
      </c>
    </row>
    <row r="549" spans="1:25" x14ac:dyDescent="0.35">
      <c r="A549">
        <v>3525</v>
      </c>
      <c r="B549" t="s">
        <v>142</v>
      </c>
      <c r="C549" t="s">
        <v>12</v>
      </c>
      <c r="D549" t="s">
        <v>230</v>
      </c>
      <c r="E549">
        <v>1</v>
      </c>
      <c r="F549">
        <v>0</v>
      </c>
      <c r="G549">
        <v>1</v>
      </c>
      <c r="H549" t="s">
        <v>297</v>
      </c>
      <c r="I549">
        <v>5</v>
      </c>
      <c r="J549">
        <v>0</v>
      </c>
      <c r="K549">
        <v>0</v>
      </c>
      <c r="L549">
        <v>5</v>
      </c>
      <c r="M549">
        <v>3</v>
      </c>
      <c r="N549">
        <v>0</v>
      </c>
      <c r="O549">
        <v>2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 t="s">
        <v>12</v>
      </c>
    </row>
    <row r="550" spans="1:25" x14ac:dyDescent="0.35">
      <c r="A550">
        <v>3528</v>
      </c>
      <c r="B550" t="s">
        <v>142</v>
      </c>
      <c r="C550" t="s">
        <v>12</v>
      </c>
      <c r="D550" t="s">
        <v>230</v>
      </c>
      <c r="E550">
        <v>1</v>
      </c>
      <c r="F550">
        <v>0</v>
      </c>
      <c r="G550">
        <v>0</v>
      </c>
      <c r="H550" t="s">
        <v>297</v>
      </c>
      <c r="I550">
        <v>8</v>
      </c>
      <c r="J550">
        <v>0</v>
      </c>
      <c r="K550">
        <v>0</v>
      </c>
      <c r="L550">
        <v>8</v>
      </c>
      <c r="M550">
        <v>1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  <c r="X550">
        <v>0</v>
      </c>
      <c r="Y550" t="s">
        <v>12</v>
      </c>
    </row>
    <row r="551" spans="1:25" x14ac:dyDescent="0.35">
      <c r="A551">
        <v>3638</v>
      </c>
      <c r="B551" t="s">
        <v>142</v>
      </c>
      <c r="C551" t="s">
        <v>12</v>
      </c>
      <c r="D551" t="s">
        <v>230</v>
      </c>
      <c r="E551">
        <v>1</v>
      </c>
      <c r="F551">
        <v>0</v>
      </c>
      <c r="G551">
        <v>1</v>
      </c>
      <c r="H551" t="s">
        <v>297</v>
      </c>
      <c r="I551">
        <v>9</v>
      </c>
      <c r="J551">
        <v>0</v>
      </c>
      <c r="K551">
        <v>0</v>
      </c>
      <c r="L551">
        <v>9</v>
      </c>
      <c r="M551">
        <v>0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 t="s">
        <v>12</v>
      </c>
    </row>
    <row r="552" spans="1:25" x14ac:dyDescent="0.35">
      <c r="A552">
        <v>3639</v>
      </c>
      <c r="B552" t="s">
        <v>142</v>
      </c>
      <c r="C552" t="s">
        <v>12</v>
      </c>
      <c r="D552" t="s">
        <v>230</v>
      </c>
      <c r="E552">
        <v>0</v>
      </c>
      <c r="F552">
        <v>0</v>
      </c>
      <c r="G552">
        <v>1</v>
      </c>
      <c r="H552" t="s">
        <v>297</v>
      </c>
      <c r="I552">
        <v>5</v>
      </c>
      <c r="J552">
        <v>0</v>
      </c>
      <c r="K552">
        <v>0</v>
      </c>
      <c r="L552">
        <v>5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4</v>
      </c>
      <c r="T552">
        <v>0</v>
      </c>
      <c r="U552">
        <v>0</v>
      </c>
      <c r="V552">
        <v>0</v>
      </c>
      <c r="W552">
        <v>0</v>
      </c>
      <c r="X552">
        <v>1</v>
      </c>
      <c r="Y552" t="s">
        <v>12</v>
      </c>
    </row>
    <row r="553" spans="1:25" x14ac:dyDescent="0.35">
      <c r="A553">
        <v>3642</v>
      </c>
      <c r="B553" t="s">
        <v>142</v>
      </c>
      <c r="C553" t="s">
        <v>12</v>
      </c>
      <c r="D553" t="s">
        <v>230</v>
      </c>
      <c r="E553">
        <v>0</v>
      </c>
      <c r="F553">
        <v>0</v>
      </c>
      <c r="G553">
        <v>0</v>
      </c>
      <c r="H553" t="s">
        <v>297</v>
      </c>
      <c r="I553">
        <v>7</v>
      </c>
      <c r="J553">
        <v>0</v>
      </c>
      <c r="K553">
        <v>0</v>
      </c>
      <c r="L553">
        <v>7</v>
      </c>
      <c r="M553">
        <v>0</v>
      </c>
      <c r="N553">
        <v>0</v>
      </c>
      <c r="O553">
        <v>0</v>
      </c>
      <c r="P553">
        <v>0</v>
      </c>
      <c r="Q553">
        <v>1</v>
      </c>
      <c r="R553">
        <v>0</v>
      </c>
      <c r="S553">
        <v>2</v>
      </c>
      <c r="T553">
        <v>0</v>
      </c>
      <c r="U553">
        <v>0</v>
      </c>
      <c r="V553">
        <v>0</v>
      </c>
      <c r="W553">
        <v>0</v>
      </c>
      <c r="X553">
        <v>0</v>
      </c>
      <c r="Y553" t="s">
        <v>12</v>
      </c>
    </row>
    <row r="554" spans="1:25" x14ac:dyDescent="0.35">
      <c r="A554">
        <v>3643</v>
      </c>
      <c r="B554" t="s">
        <v>142</v>
      </c>
      <c r="C554" t="s">
        <v>12</v>
      </c>
      <c r="D554" t="s">
        <v>230</v>
      </c>
      <c r="E554">
        <v>0</v>
      </c>
      <c r="F554">
        <v>0</v>
      </c>
      <c r="G554">
        <v>0</v>
      </c>
      <c r="H554" t="s">
        <v>297</v>
      </c>
      <c r="I554">
        <v>8</v>
      </c>
      <c r="J554">
        <v>0</v>
      </c>
      <c r="K554">
        <v>0</v>
      </c>
      <c r="L554">
        <v>8</v>
      </c>
      <c r="M554">
        <v>0</v>
      </c>
      <c r="N554">
        <v>0</v>
      </c>
      <c r="O554">
        <v>1</v>
      </c>
      <c r="P554">
        <v>0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 t="s">
        <v>12</v>
      </c>
    </row>
    <row r="555" spans="1:25" x14ac:dyDescent="0.35">
      <c r="A555">
        <v>3646</v>
      </c>
      <c r="B555" t="s">
        <v>142</v>
      </c>
      <c r="C555" t="s">
        <v>12</v>
      </c>
      <c r="D555" t="s">
        <v>230</v>
      </c>
      <c r="E555">
        <v>1</v>
      </c>
      <c r="F555">
        <v>0</v>
      </c>
      <c r="G555">
        <v>0</v>
      </c>
      <c r="H555" t="s">
        <v>297</v>
      </c>
      <c r="I555">
        <v>8</v>
      </c>
      <c r="J555">
        <v>0</v>
      </c>
      <c r="K555">
        <v>0</v>
      </c>
      <c r="L555">
        <v>8</v>
      </c>
      <c r="M555">
        <v>0</v>
      </c>
      <c r="N555">
        <v>0</v>
      </c>
      <c r="O555">
        <v>1</v>
      </c>
      <c r="P555">
        <v>1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 t="s">
        <v>12</v>
      </c>
    </row>
    <row r="556" spans="1:25" x14ac:dyDescent="0.35">
      <c r="A556">
        <v>3843</v>
      </c>
      <c r="B556" t="s">
        <v>142</v>
      </c>
      <c r="C556" t="s">
        <v>12</v>
      </c>
      <c r="D556" t="s">
        <v>230</v>
      </c>
      <c r="E556">
        <v>1</v>
      </c>
      <c r="F556">
        <v>0</v>
      </c>
      <c r="G556">
        <v>0</v>
      </c>
      <c r="H556" t="s">
        <v>297</v>
      </c>
      <c r="I556">
        <v>7</v>
      </c>
      <c r="J556">
        <v>1</v>
      </c>
      <c r="K556">
        <v>0</v>
      </c>
      <c r="L556">
        <v>7</v>
      </c>
      <c r="M556">
        <v>0</v>
      </c>
      <c r="N556">
        <v>0</v>
      </c>
      <c r="O556">
        <v>0</v>
      </c>
      <c r="P556">
        <v>2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 t="s">
        <v>12</v>
      </c>
    </row>
    <row r="557" spans="1:25" x14ac:dyDescent="0.35">
      <c r="A557">
        <v>3091</v>
      </c>
      <c r="B557" t="s">
        <v>177</v>
      </c>
      <c r="C557" t="s">
        <v>3</v>
      </c>
      <c r="D557" t="s">
        <v>206</v>
      </c>
      <c r="E557">
        <v>1</v>
      </c>
      <c r="F557">
        <v>0</v>
      </c>
      <c r="G557">
        <v>0</v>
      </c>
      <c r="H557" t="s">
        <v>297</v>
      </c>
      <c r="I557">
        <v>10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10</v>
      </c>
      <c r="T557">
        <v>0</v>
      </c>
      <c r="U557">
        <v>0</v>
      </c>
      <c r="V557">
        <v>0</v>
      </c>
      <c r="W557">
        <v>0</v>
      </c>
      <c r="X557">
        <v>0</v>
      </c>
      <c r="Y557" t="s">
        <v>3</v>
      </c>
    </row>
    <row r="558" spans="1:25" x14ac:dyDescent="0.35">
      <c r="A558">
        <v>3149</v>
      </c>
      <c r="B558" t="s">
        <v>177</v>
      </c>
      <c r="C558" t="s">
        <v>3</v>
      </c>
      <c r="D558" t="s">
        <v>206</v>
      </c>
      <c r="E558">
        <v>0</v>
      </c>
      <c r="F558">
        <v>0</v>
      </c>
      <c r="G558">
        <v>0</v>
      </c>
      <c r="H558" t="s">
        <v>297</v>
      </c>
      <c r="I558">
        <v>9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</v>
      </c>
      <c r="P558">
        <v>0</v>
      </c>
      <c r="Q558">
        <v>0</v>
      </c>
      <c r="R558">
        <v>0</v>
      </c>
      <c r="S558">
        <v>9</v>
      </c>
      <c r="T558">
        <v>0</v>
      </c>
      <c r="U558">
        <v>0</v>
      </c>
      <c r="V558">
        <v>0</v>
      </c>
      <c r="W558">
        <v>0</v>
      </c>
      <c r="X558">
        <v>0</v>
      </c>
      <c r="Y558" t="s">
        <v>3</v>
      </c>
    </row>
    <row r="559" spans="1:25" x14ac:dyDescent="0.35">
      <c r="A559">
        <v>3156</v>
      </c>
      <c r="B559" t="s">
        <v>177</v>
      </c>
      <c r="C559" t="s">
        <v>3</v>
      </c>
      <c r="D559" t="s">
        <v>206</v>
      </c>
      <c r="E559">
        <v>1</v>
      </c>
      <c r="F559">
        <v>0</v>
      </c>
      <c r="G559">
        <v>0</v>
      </c>
      <c r="H559" t="s">
        <v>297</v>
      </c>
      <c r="I559">
        <v>5</v>
      </c>
      <c r="J559">
        <v>0</v>
      </c>
      <c r="K559">
        <v>2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5</v>
      </c>
      <c r="T559">
        <v>0</v>
      </c>
      <c r="U559">
        <v>3</v>
      </c>
      <c r="V559">
        <v>0</v>
      </c>
      <c r="W559">
        <v>0</v>
      </c>
      <c r="X559">
        <v>0</v>
      </c>
      <c r="Y559" t="s">
        <v>3</v>
      </c>
    </row>
    <row r="560" spans="1:25" x14ac:dyDescent="0.35">
      <c r="A560">
        <v>3157</v>
      </c>
      <c r="B560" t="s">
        <v>177</v>
      </c>
      <c r="C560" t="s">
        <v>3</v>
      </c>
      <c r="D560" t="s">
        <v>206</v>
      </c>
      <c r="E560">
        <v>0</v>
      </c>
      <c r="F560">
        <v>1</v>
      </c>
      <c r="G560">
        <v>0</v>
      </c>
      <c r="H560" t="s">
        <v>297</v>
      </c>
      <c r="I560">
        <v>5</v>
      </c>
      <c r="J560">
        <v>2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5</v>
      </c>
      <c r="T560">
        <v>0</v>
      </c>
      <c r="U560">
        <v>3</v>
      </c>
      <c r="V560">
        <v>0</v>
      </c>
      <c r="W560">
        <v>0</v>
      </c>
      <c r="X560">
        <v>0</v>
      </c>
      <c r="Y560" t="s">
        <v>3</v>
      </c>
    </row>
    <row r="561" spans="1:25" x14ac:dyDescent="0.35">
      <c r="A561">
        <v>3226</v>
      </c>
      <c r="B561" t="s">
        <v>177</v>
      </c>
      <c r="C561" t="s">
        <v>3</v>
      </c>
      <c r="D561" t="s">
        <v>206</v>
      </c>
      <c r="E561">
        <v>0</v>
      </c>
      <c r="F561">
        <v>0</v>
      </c>
      <c r="G561">
        <v>0</v>
      </c>
      <c r="H561" t="s">
        <v>297</v>
      </c>
      <c r="I561">
        <v>7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1</v>
      </c>
      <c r="P561">
        <v>0</v>
      </c>
      <c r="Q561">
        <v>2</v>
      </c>
      <c r="R561">
        <v>0</v>
      </c>
      <c r="S561">
        <v>7</v>
      </c>
      <c r="T561">
        <v>0</v>
      </c>
      <c r="U561">
        <v>0</v>
      </c>
      <c r="V561">
        <v>0</v>
      </c>
      <c r="W561">
        <v>0</v>
      </c>
      <c r="X561">
        <v>0</v>
      </c>
      <c r="Y561" t="s">
        <v>3</v>
      </c>
    </row>
    <row r="562" spans="1:25" x14ac:dyDescent="0.35">
      <c r="A562">
        <v>3229</v>
      </c>
      <c r="B562" t="s">
        <v>177</v>
      </c>
      <c r="C562" t="s">
        <v>3</v>
      </c>
      <c r="D562" t="s">
        <v>206</v>
      </c>
      <c r="E562">
        <v>0</v>
      </c>
      <c r="F562">
        <v>0</v>
      </c>
      <c r="G562">
        <v>0</v>
      </c>
      <c r="H562" t="s">
        <v>297</v>
      </c>
      <c r="I562">
        <v>5</v>
      </c>
      <c r="J562">
        <v>1</v>
      </c>
      <c r="K562">
        <v>0</v>
      </c>
      <c r="L562">
        <v>0</v>
      </c>
      <c r="M562">
        <v>0</v>
      </c>
      <c r="N562">
        <v>0</v>
      </c>
      <c r="O562">
        <v>4</v>
      </c>
      <c r="P562">
        <v>0</v>
      </c>
      <c r="Q562">
        <v>0</v>
      </c>
      <c r="R562">
        <v>0</v>
      </c>
      <c r="S562">
        <v>5</v>
      </c>
      <c r="T562">
        <v>0</v>
      </c>
      <c r="U562">
        <v>0</v>
      </c>
      <c r="V562">
        <v>0</v>
      </c>
      <c r="W562">
        <v>0</v>
      </c>
      <c r="X562">
        <v>0</v>
      </c>
      <c r="Y562" t="s">
        <v>3</v>
      </c>
    </row>
    <row r="563" spans="1:25" x14ac:dyDescent="0.35">
      <c r="A563">
        <v>3297</v>
      </c>
      <c r="B563" t="s">
        <v>177</v>
      </c>
      <c r="C563" t="s">
        <v>3</v>
      </c>
      <c r="D563" t="s">
        <v>206</v>
      </c>
      <c r="E563">
        <v>1</v>
      </c>
      <c r="F563">
        <v>0</v>
      </c>
      <c r="G563">
        <v>0</v>
      </c>
      <c r="H563" t="s">
        <v>297</v>
      </c>
      <c r="I563">
        <v>6</v>
      </c>
      <c r="J563">
        <v>0</v>
      </c>
      <c r="K563">
        <v>0</v>
      </c>
      <c r="L563">
        <v>0</v>
      </c>
      <c r="M563">
        <v>0</v>
      </c>
      <c r="N563">
        <v>1</v>
      </c>
      <c r="O563">
        <v>3</v>
      </c>
      <c r="P563">
        <v>0</v>
      </c>
      <c r="Q563">
        <v>0</v>
      </c>
      <c r="R563">
        <v>0</v>
      </c>
      <c r="S563">
        <v>6</v>
      </c>
      <c r="T563">
        <v>0</v>
      </c>
      <c r="U563">
        <v>0</v>
      </c>
      <c r="V563">
        <v>0</v>
      </c>
      <c r="W563">
        <v>0</v>
      </c>
      <c r="X563">
        <v>0</v>
      </c>
      <c r="Y563" t="s">
        <v>3</v>
      </c>
    </row>
    <row r="564" spans="1:25" x14ac:dyDescent="0.35">
      <c r="A564">
        <v>3299</v>
      </c>
      <c r="B564" t="s">
        <v>177</v>
      </c>
      <c r="C564" t="s">
        <v>3</v>
      </c>
      <c r="D564" t="s">
        <v>206</v>
      </c>
      <c r="E564">
        <v>0</v>
      </c>
      <c r="F564">
        <v>0</v>
      </c>
      <c r="G564">
        <v>1</v>
      </c>
      <c r="H564" t="s">
        <v>297</v>
      </c>
      <c r="I564">
        <v>5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3</v>
      </c>
      <c r="P564">
        <v>0</v>
      </c>
      <c r="Q564">
        <v>2</v>
      </c>
      <c r="R564">
        <v>0</v>
      </c>
      <c r="S564">
        <v>5</v>
      </c>
      <c r="T564">
        <v>0</v>
      </c>
      <c r="U564">
        <v>0</v>
      </c>
      <c r="V564">
        <v>0</v>
      </c>
      <c r="W564">
        <v>0</v>
      </c>
      <c r="X564">
        <v>0</v>
      </c>
      <c r="Y564" t="s">
        <v>3</v>
      </c>
    </row>
    <row r="565" spans="1:25" x14ac:dyDescent="0.35">
      <c r="A565">
        <v>3434</v>
      </c>
      <c r="B565" t="s">
        <v>177</v>
      </c>
      <c r="C565" t="s">
        <v>3</v>
      </c>
      <c r="D565" t="s">
        <v>206</v>
      </c>
      <c r="E565">
        <v>0</v>
      </c>
      <c r="F565">
        <v>1</v>
      </c>
      <c r="G565">
        <v>0</v>
      </c>
      <c r="H565" t="s">
        <v>297</v>
      </c>
      <c r="I565">
        <v>6</v>
      </c>
      <c r="J565">
        <v>0</v>
      </c>
      <c r="K565">
        <v>0</v>
      </c>
      <c r="L565">
        <v>2</v>
      </c>
      <c r="M565">
        <v>0</v>
      </c>
      <c r="N565">
        <v>0</v>
      </c>
      <c r="O565">
        <v>0</v>
      </c>
      <c r="P565">
        <v>0</v>
      </c>
      <c r="Q565">
        <v>2</v>
      </c>
      <c r="R565">
        <v>0</v>
      </c>
      <c r="S565">
        <v>6</v>
      </c>
      <c r="T565">
        <v>0</v>
      </c>
      <c r="U565">
        <v>0</v>
      </c>
      <c r="V565">
        <v>0</v>
      </c>
      <c r="W565">
        <v>0</v>
      </c>
      <c r="X565">
        <v>0</v>
      </c>
      <c r="Y565" t="s">
        <v>3</v>
      </c>
    </row>
    <row r="566" spans="1:25" x14ac:dyDescent="0.35">
      <c r="A566">
        <v>3498</v>
      </c>
      <c r="B566" t="s">
        <v>177</v>
      </c>
      <c r="C566" t="s">
        <v>3</v>
      </c>
      <c r="D566" t="s">
        <v>206</v>
      </c>
      <c r="E566">
        <v>0</v>
      </c>
      <c r="F566">
        <v>0</v>
      </c>
      <c r="G566">
        <v>0</v>
      </c>
      <c r="H566" t="s">
        <v>297</v>
      </c>
      <c r="I566">
        <v>7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2</v>
      </c>
      <c r="Q566">
        <v>0</v>
      </c>
      <c r="R566">
        <v>0</v>
      </c>
      <c r="S566">
        <v>7</v>
      </c>
      <c r="T566">
        <v>1</v>
      </c>
      <c r="U566">
        <v>0</v>
      </c>
      <c r="V566">
        <v>0</v>
      </c>
      <c r="W566">
        <v>0</v>
      </c>
      <c r="X566">
        <v>0</v>
      </c>
      <c r="Y566" t="s">
        <v>3</v>
      </c>
    </row>
    <row r="567" spans="1:25" x14ac:dyDescent="0.35">
      <c r="A567">
        <v>3499</v>
      </c>
      <c r="B567" t="s">
        <v>177</v>
      </c>
      <c r="C567" t="s">
        <v>3</v>
      </c>
      <c r="D567" t="s">
        <v>206</v>
      </c>
      <c r="E567">
        <v>0</v>
      </c>
      <c r="F567">
        <v>0</v>
      </c>
      <c r="G567">
        <v>0</v>
      </c>
      <c r="H567" t="s">
        <v>297</v>
      </c>
      <c r="I567">
        <v>6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2</v>
      </c>
      <c r="P567">
        <v>0</v>
      </c>
      <c r="Q567">
        <v>0</v>
      </c>
      <c r="R567">
        <v>0</v>
      </c>
      <c r="S567">
        <v>6</v>
      </c>
      <c r="T567">
        <v>0</v>
      </c>
      <c r="U567">
        <v>2</v>
      </c>
      <c r="V567">
        <v>0</v>
      </c>
      <c r="W567">
        <v>0</v>
      </c>
      <c r="X567">
        <v>0</v>
      </c>
      <c r="Y567" t="s">
        <v>3</v>
      </c>
    </row>
    <row r="568" spans="1:25" x14ac:dyDescent="0.35">
      <c r="A568">
        <v>3554</v>
      </c>
      <c r="B568" t="s">
        <v>177</v>
      </c>
      <c r="C568" t="s">
        <v>3</v>
      </c>
      <c r="D568" t="s">
        <v>206</v>
      </c>
      <c r="E568">
        <v>0</v>
      </c>
      <c r="F568">
        <v>0</v>
      </c>
      <c r="G568">
        <v>1</v>
      </c>
      <c r="H568" t="s">
        <v>297</v>
      </c>
      <c r="I568">
        <v>7</v>
      </c>
      <c r="J568">
        <v>0</v>
      </c>
      <c r="K568">
        <v>0</v>
      </c>
      <c r="L568">
        <v>2</v>
      </c>
      <c r="M568">
        <v>0</v>
      </c>
      <c r="N568">
        <v>0</v>
      </c>
      <c r="O568">
        <v>1</v>
      </c>
      <c r="P568">
        <v>0</v>
      </c>
      <c r="Q568">
        <v>0</v>
      </c>
      <c r="R568">
        <v>0</v>
      </c>
      <c r="S568">
        <v>7</v>
      </c>
      <c r="T568">
        <v>0</v>
      </c>
      <c r="U568">
        <v>0</v>
      </c>
      <c r="V568">
        <v>0</v>
      </c>
      <c r="W568">
        <v>0</v>
      </c>
      <c r="X568">
        <v>0</v>
      </c>
      <c r="Y568" t="s">
        <v>3</v>
      </c>
    </row>
    <row r="569" spans="1:25" x14ac:dyDescent="0.35">
      <c r="A569">
        <v>3629</v>
      </c>
      <c r="B569" t="s">
        <v>177</v>
      </c>
      <c r="C569" t="s">
        <v>3</v>
      </c>
      <c r="D569" t="s">
        <v>206</v>
      </c>
      <c r="E569">
        <v>1</v>
      </c>
      <c r="F569">
        <v>0</v>
      </c>
      <c r="G569">
        <v>0</v>
      </c>
      <c r="H569" t="s">
        <v>297</v>
      </c>
      <c r="I569">
        <v>7</v>
      </c>
      <c r="J569">
        <v>2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7</v>
      </c>
      <c r="T569">
        <v>0</v>
      </c>
      <c r="U569">
        <v>0</v>
      </c>
      <c r="V569">
        <v>0</v>
      </c>
      <c r="W569">
        <v>0</v>
      </c>
      <c r="X569">
        <v>0</v>
      </c>
      <c r="Y569" t="s">
        <v>3</v>
      </c>
    </row>
    <row r="570" spans="1:25" x14ac:dyDescent="0.35">
      <c r="A570">
        <v>3633</v>
      </c>
      <c r="B570" t="s">
        <v>177</v>
      </c>
      <c r="C570" t="s">
        <v>3</v>
      </c>
      <c r="D570" t="s">
        <v>206</v>
      </c>
      <c r="E570">
        <v>1</v>
      </c>
      <c r="F570">
        <v>0</v>
      </c>
      <c r="G570">
        <v>0</v>
      </c>
      <c r="H570" t="s">
        <v>297</v>
      </c>
      <c r="I570">
        <v>7</v>
      </c>
      <c r="J570">
        <v>2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7</v>
      </c>
      <c r="T570">
        <v>0</v>
      </c>
      <c r="U570">
        <v>0</v>
      </c>
      <c r="V570">
        <v>0</v>
      </c>
      <c r="W570">
        <v>1</v>
      </c>
      <c r="X570">
        <v>0</v>
      </c>
      <c r="Y570" t="s">
        <v>3</v>
      </c>
    </row>
    <row r="571" spans="1:25" x14ac:dyDescent="0.35">
      <c r="A571">
        <v>3658</v>
      </c>
      <c r="B571" t="s">
        <v>177</v>
      </c>
      <c r="C571" t="s">
        <v>3</v>
      </c>
      <c r="D571" t="s">
        <v>206</v>
      </c>
      <c r="E571">
        <v>1</v>
      </c>
      <c r="F571">
        <v>0</v>
      </c>
      <c r="G571">
        <v>0</v>
      </c>
      <c r="H571" t="s">
        <v>297</v>
      </c>
      <c r="I571">
        <v>6</v>
      </c>
      <c r="J571">
        <v>0</v>
      </c>
      <c r="K571">
        <v>0</v>
      </c>
      <c r="L571">
        <v>0</v>
      </c>
      <c r="M571">
        <v>0</v>
      </c>
      <c r="N571">
        <v>3</v>
      </c>
      <c r="O571">
        <v>1</v>
      </c>
      <c r="P571">
        <v>0</v>
      </c>
      <c r="Q571">
        <v>0</v>
      </c>
      <c r="R571">
        <v>0</v>
      </c>
      <c r="S571">
        <v>6</v>
      </c>
      <c r="T571">
        <v>0</v>
      </c>
      <c r="U571">
        <v>0</v>
      </c>
      <c r="V571">
        <v>0</v>
      </c>
      <c r="W571">
        <v>0</v>
      </c>
      <c r="X571">
        <v>0</v>
      </c>
      <c r="Y571" t="s">
        <v>3</v>
      </c>
    </row>
    <row r="572" spans="1:25" x14ac:dyDescent="0.35">
      <c r="A572">
        <v>3688</v>
      </c>
      <c r="B572" t="s">
        <v>177</v>
      </c>
      <c r="C572" t="s">
        <v>3</v>
      </c>
      <c r="D572" t="s">
        <v>206</v>
      </c>
      <c r="E572">
        <v>0</v>
      </c>
      <c r="F572">
        <v>0</v>
      </c>
      <c r="G572">
        <v>0</v>
      </c>
      <c r="H572" t="s">
        <v>297</v>
      </c>
      <c r="I572">
        <v>8</v>
      </c>
      <c r="J572">
        <v>0</v>
      </c>
      <c r="K572">
        <v>0</v>
      </c>
      <c r="L572">
        <v>0</v>
      </c>
      <c r="M572">
        <v>0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8</v>
      </c>
      <c r="T572">
        <v>1</v>
      </c>
      <c r="U572">
        <v>0</v>
      </c>
      <c r="V572">
        <v>0</v>
      </c>
      <c r="W572">
        <v>0</v>
      </c>
      <c r="X572">
        <v>0</v>
      </c>
      <c r="Y572" t="s">
        <v>3</v>
      </c>
    </row>
    <row r="573" spans="1:25" x14ac:dyDescent="0.35">
      <c r="A573">
        <v>3689</v>
      </c>
      <c r="B573" t="s">
        <v>177</v>
      </c>
      <c r="C573" t="s">
        <v>3</v>
      </c>
      <c r="D573" t="s">
        <v>206</v>
      </c>
      <c r="E573">
        <v>0</v>
      </c>
      <c r="F573">
        <v>0</v>
      </c>
      <c r="G573">
        <v>0</v>
      </c>
      <c r="H573" t="s">
        <v>297</v>
      </c>
      <c r="I573">
        <v>6</v>
      </c>
      <c r="J573">
        <v>0</v>
      </c>
      <c r="K573">
        <v>0</v>
      </c>
      <c r="L573">
        <v>0</v>
      </c>
      <c r="M573">
        <v>0</v>
      </c>
      <c r="N573">
        <v>3</v>
      </c>
      <c r="O573">
        <v>0</v>
      </c>
      <c r="P573">
        <v>0</v>
      </c>
      <c r="Q573">
        <v>1</v>
      </c>
      <c r="R573">
        <v>0</v>
      </c>
      <c r="S573">
        <v>6</v>
      </c>
      <c r="T573">
        <v>0</v>
      </c>
      <c r="U573">
        <v>0</v>
      </c>
      <c r="V573">
        <v>0</v>
      </c>
      <c r="W573">
        <v>0</v>
      </c>
      <c r="X573">
        <v>0</v>
      </c>
      <c r="Y573" t="s">
        <v>3</v>
      </c>
    </row>
    <row r="574" spans="1:25" x14ac:dyDescent="0.35">
      <c r="A574">
        <v>3692</v>
      </c>
      <c r="B574" t="s">
        <v>177</v>
      </c>
      <c r="C574" t="s">
        <v>3</v>
      </c>
      <c r="D574" t="s">
        <v>206</v>
      </c>
      <c r="E574">
        <v>0</v>
      </c>
      <c r="F574">
        <v>0</v>
      </c>
      <c r="G574">
        <v>0</v>
      </c>
      <c r="H574" t="s">
        <v>297</v>
      </c>
      <c r="I574">
        <v>5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1</v>
      </c>
      <c r="R574">
        <v>0</v>
      </c>
      <c r="S574">
        <v>5</v>
      </c>
      <c r="T574">
        <v>4</v>
      </c>
      <c r="U574">
        <v>0</v>
      </c>
      <c r="V574">
        <v>0</v>
      </c>
      <c r="W574">
        <v>0</v>
      </c>
      <c r="X574">
        <v>0</v>
      </c>
      <c r="Y574" t="s">
        <v>3</v>
      </c>
    </row>
    <row r="575" spans="1:25" x14ac:dyDescent="0.35">
      <c r="A575">
        <v>3771</v>
      </c>
      <c r="B575" t="s">
        <v>177</v>
      </c>
      <c r="C575" t="s">
        <v>3</v>
      </c>
      <c r="D575" t="s">
        <v>206</v>
      </c>
      <c r="E575">
        <v>0</v>
      </c>
      <c r="F575">
        <v>0</v>
      </c>
      <c r="G575">
        <v>0</v>
      </c>
      <c r="H575" t="s">
        <v>297</v>
      </c>
      <c r="I575">
        <v>8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1</v>
      </c>
      <c r="P575">
        <v>0</v>
      </c>
      <c r="Q575">
        <v>1</v>
      </c>
      <c r="R575">
        <v>0</v>
      </c>
      <c r="S575">
        <v>8</v>
      </c>
      <c r="T575">
        <v>0</v>
      </c>
      <c r="U575">
        <v>0</v>
      </c>
      <c r="V575">
        <v>0</v>
      </c>
      <c r="W575">
        <v>0</v>
      </c>
      <c r="X575">
        <v>0</v>
      </c>
      <c r="Y575" t="s">
        <v>3</v>
      </c>
    </row>
    <row r="576" spans="1:25" x14ac:dyDescent="0.35">
      <c r="A576">
        <v>3829</v>
      </c>
      <c r="B576" t="s">
        <v>177</v>
      </c>
      <c r="C576" t="s">
        <v>3</v>
      </c>
      <c r="D576" t="s">
        <v>206</v>
      </c>
      <c r="E576">
        <v>0</v>
      </c>
      <c r="F576">
        <v>0</v>
      </c>
      <c r="G576">
        <v>0</v>
      </c>
      <c r="H576" t="s">
        <v>297</v>
      </c>
      <c r="I576">
        <v>5</v>
      </c>
      <c r="J576">
        <v>0</v>
      </c>
      <c r="K576">
        <v>2</v>
      </c>
      <c r="L576">
        <v>0</v>
      </c>
      <c r="M576">
        <v>3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5</v>
      </c>
      <c r="T576">
        <v>0</v>
      </c>
      <c r="U576">
        <v>0</v>
      </c>
      <c r="V576">
        <v>0</v>
      </c>
      <c r="W576">
        <v>0</v>
      </c>
      <c r="X576">
        <v>0</v>
      </c>
      <c r="Y576" t="s">
        <v>3</v>
      </c>
    </row>
    <row r="577" spans="1:25" x14ac:dyDescent="0.35">
      <c r="A577">
        <v>3268</v>
      </c>
      <c r="B577" t="s">
        <v>179</v>
      </c>
      <c r="C577" t="s">
        <v>8</v>
      </c>
      <c r="D577" t="s">
        <v>207</v>
      </c>
      <c r="E577">
        <v>0</v>
      </c>
      <c r="F577">
        <v>0</v>
      </c>
      <c r="G577">
        <v>0</v>
      </c>
      <c r="H577" t="s">
        <v>297</v>
      </c>
      <c r="I577">
        <v>6</v>
      </c>
      <c r="J577">
        <v>0</v>
      </c>
      <c r="K577">
        <v>0</v>
      </c>
      <c r="L577">
        <v>0</v>
      </c>
      <c r="M577">
        <v>6</v>
      </c>
      <c r="N577">
        <v>2</v>
      </c>
      <c r="O577">
        <v>2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 t="s">
        <v>4</v>
      </c>
    </row>
    <row r="578" spans="1:25" x14ac:dyDescent="0.35">
      <c r="A578">
        <v>3326</v>
      </c>
      <c r="B578" t="s">
        <v>179</v>
      </c>
      <c r="C578" t="s">
        <v>8</v>
      </c>
      <c r="D578" t="s">
        <v>207</v>
      </c>
      <c r="E578">
        <v>0</v>
      </c>
      <c r="F578">
        <v>0</v>
      </c>
      <c r="G578">
        <v>0</v>
      </c>
      <c r="H578" t="s">
        <v>297</v>
      </c>
      <c r="I578">
        <v>5</v>
      </c>
      <c r="J578">
        <v>0</v>
      </c>
      <c r="K578">
        <v>0</v>
      </c>
      <c r="L578">
        <v>2</v>
      </c>
      <c r="M578">
        <v>5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3</v>
      </c>
      <c r="T578">
        <v>0</v>
      </c>
      <c r="U578">
        <v>0</v>
      </c>
      <c r="V578">
        <v>0</v>
      </c>
      <c r="W578">
        <v>0</v>
      </c>
      <c r="X578">
        <v>0</v>
      </c>
      <c r="Y578" t="s">
        <v>4</v>
      </c>
    </row>
    <row r="579" spans="1:25" x14ac:dyDescent="0.35">
      <c r="A579">
        <v>3328</v>
      </c>
      <c r="B579" t="s">
        <v>179</v>
      </c>
      <c r="C579" t="s">
        <v>8</v>
      </c>
      <c r="D579" t="s">
        <v>207</v>
      </c>
      <c r="E579">
        <v>0</v>
      </c>
      <c r="F579">
        <v>0</v>
      </c>
      <c r="G579">
        <v>1</v>
      </c>
      <c r="H579" t="s">
        <v>297</v>
      </c>
      <c r="I579">
        <v>7</v>
      </c>
      <c r="J579">
        <v>0</v>
      </c>
      <c r="K579">
        <v>0</v>
      </c>
      <c r="L579">
        <v>0</v>
      </c>
      <c r="M579">
        <v>7</v>
      </c>
      <c r="N579">
        <v>0</v>
      </c>
      <c r="O579">
        <v>0</v>
      </c>
      <c r="P579">
        <v>0</v>
      </c>
      <c r="Q579">
        <v>1</v>
      </c>
      <c r="R579">
        <v>0</v>
      </c>
      <c r="S579">
        <v>2</v>
      </c>
      <c r="T579">
        <v>0</v>
      </c>
      <c r="U579">
        <v>0</v>
      </c>
      <c r="V579">
        <v>0</v>
      </c>
      <c r="W579">
        <v>0</v>
      </c>
      <c r="X579">
        <v>0</v>
      </c>
      <c r="Y579" t="s">
        <v>4</v>
      </c>
    </row>
    <row r="580" spans="1:25" x14ac:dyDescent="0.35">
      <c r="A580">
        <v>3331</v>
      </c>
      <c r="B580" t="s">
        <v>179</v>
      </c>
      <c r="C580" t="s">
        <v>8</v>
      </c>
      <c r="D580" t="s">
        <v>207</v>
      </c>
      <c r="E580">
        <v>1</v>
      </c>
      <c r="F580">
        <v>0</v>
      </c>
      <c r="G580">
        <v>0</v>
      </c>
      <c r="H580" t="s">
        <v>297</v>
      </c>
      <c r="I580">
        <v>7</v>
      </c>
      <c r="J580">
        <v>0</v>
      </c>
      <c r="K580">
        <v>0</v>
      </c>
      <c r="L580">
        <v>1</v>
      </c>
      <c r="M580">
        <v>7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2</v>
      </c>
      <c r="T580">
        <v>0</v>
      </c>
      <c r="U580">
        <v>0</v>
      </c>
      <c r="V580">
        <v>0</v>
      </c>
      <c r="W580">
        <v>0</v>
      </c>
      <c r="X580">
        <v>0</v>
      </c>
      <c r="Y580" t="s">
        <v>4</v>
      </c>
    </row>
    <row r="581" spans="1:25" x14ac:dyDescent="0.35">
      <c r="A581">
        <v>3333</v>
      </c>
      <c r="B581" t="s">
        <v>179</v>
      </c>
      <c r="C581" t="s">
        <v>8</v>
      </c>
      <c r="D581" t="s">
        <v>207</v>
      </c>
      <c r="E581">
        <v>0</v>
      </c>
      <c r="F581">
        <v>0</v>
      </c>
      <c r="G581">
        <v>0</v>
      </c>
      <c r="H581" t="s">
        <v>297</v>
      </c>
      <c r="I581">
        <v>5</v>
      </c>
      <c r="J581">
        <v>0</v>
      </c>
      <c r="K581">
        <v>0</v>
      </c>
      <c r="L581">
        <v>0</v>
      </c>
      <c r="M581">
        <v>5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4</v>
      </c>
      <c r="T581">
        <v>1</v>
      </c>
      <c r="U581">
        <v>0</v>
      </c>
      <c r="V581">
        <v>0</v>
      </c>
      <c r="W581">
        <v>0</v>
      </c>
      <c r="X581">
        <v>0</v>
      </c>
      <c r="Y581" t="s">
        <v>4</v>
      </c>
    </row>
    <row r="582" spans="1:25" x14ac:dyDescent="0.35">
      <c r="A582">
        <v>3339</v>
      </c>
      <c r="B582" t="s">
        <v>179</v>
      </c>
      <c r="C582" t="s">
        <v>8</v>
      </c>
      <c r="D582" t="s">
        <v>207</v>
      </c>
      <c r="E582">
        <v>0</v>
      </c>
      <c r="F582">
        <v>0</v>
      </c>
      <c r="G582">
        <v>0</v>
      </c>
      <c r="H582" t="s">
        <v>297</v>
      </c>
      <c r="I582">
        <v>8</v>
      </c>
      <c r="J582">
        <v>0</v>
      </c>
      <c r="K582">
        <v>0</v>
      </c>
      <c r="L582">
        <v>0</v>
      </c>
      <c r="M582">
        <v>8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0</v>
      </c>
      <c r="V582">
        <v>0</v>
      </c>
      <c r="W582">
        <v>0</v>
      </c>
      <c r="X582">
        <v>0</v>
      </c>
      <c r="Y582" t="s">
        <v>4</v>
      </c>
    </row>
    <row r="583" spans="1:25" x14ac:dyDescent="0.35">
      <c r="A583">
        <v>3388</v>
      </c>
      <c r="B583" t="s">
        <v>179</v>
      </c>
      <c r="C583" t="s">
        <v>8</v>
      </c>
      <c r="D583" t="s">
        <v>207</v>
      </c>
      <c r="E583">
        <v>0</v>
      </c>
      <c r="F583">
        <v>0</v>
      </c>
      <c r="G583">
        <v>0</v>
      </c>
      <c r="H583" t="s">
        <v>297</v>
      </c>
      <c r="I583">
        <v>6</v>
      </c>
      <c r="J583">
        <v>0</v>
      </c>
      <c r="K583">
        <v>1</v>
      </c>
      <c r="L583">
        <v>0</v>
      </c>
      <c r="M583">
        <v>6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3</v>
      </c>
      <c r="U583">
        <v>0</v>
      </c>
      <c r="V583">
        <v>0</v>
      </c>
      <c r="W583">
        <v>0</v>
      </c>
      <c r="X583">
        <v>0</v>
      </c>
      <c r="Y583" t="s">
        <v>4</v>
      </c>
    </row>
    <row r="584" spans="1:25" x14ac:dyDescent="0.35">
      <c r="A584">
        <v>3544</v>
      </c>
      <c r="B584" t="s">
        <v>179</v>
      </c>
      <c r="C584" t="s">
        <v>8</v>
      </c>
      <c r="D584" t="s">
        <v>207</v>
      </c>
      <c r="E584">
        <v>0</v>
      </c>
      <c r="F584">
        <v>0</v>
      </c>
      <c r="G584">
        <v>0</v>
      </c>
      <c r="H584" t="s">
        <v>297</v>
      </c>
      <c r="I584">
        <v>8</v>
      </c>
      <c r="J584">
        <v>0</v>
      </c>
      <c r="K584">
        <v>0</v>
      </c>
      <c r="L584">
        <v>0</v>
      </c>
      <c r="M584">
        <v>8</v>
      </c>
      <c r="N584">
        <v>0</v>
      </c>
      <c r="O584">
        <v>0</v>
      </c>
      <c r="P584">
        <v>1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1</v>
      </c>
      <c r="Y584" t="s">
        <v>4</v>
      </c>
    </row>
    <row r="585" spans="1:25" x14ac:dyDescent="0.35">
      <c r="A585">
        <v>3569</v>
      </c>
      <c r="B585" t="s">
        <v>179</v>
      </c>
      <c r="C585" t="s">
        <v>8</v>
      </c>
      <c r="D585" t="s">
        <v>207</v>
      </c>
      <c r="E585">
        <v>1</v>
      </c>
      <c r="F585">
        <v>0</v>
      </c>
      <c r="G585">
        <v>0</v>
      </c>
      <c r="H585" t="s">
        <v>297</v>
      </c>
      <c r="I585">
        <v>5</v>
      </c>
      <c r="J585">
        <v>0</v>
      </c>
      <c r="K585">
        <v>3</v>
      </c>
      <c r="L585">
        <v>0</v>
      </c>
      <c r="M585">
        <v>5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2</v>
      </c>
      <c r="W585">
        <v>0</v>
      </c>
      <c r="X585">
        <v>0</v>
      </c>
      <c r="Y585" t="s">
        <v>4</v>
      </c>
    </row>
    <row r="586" spans="1:25" x14ac:dyDescent="0.35">
      <c r="A586">
        <v>3572</v>
      </c>
      <c r="B586" t="s">
        <v>179</v>
      </c>
      <c r="C586" t="s">
        <v>8</v>
      </c>
      <c r="D586" t="s">
        <v>207</v>
      </c>
      <c r="E586">
        <v>1</v>
      </c>
      <c r="F586">
        <v>0</v>
      </c>
      <c r="G586">
        <v>1</v>
      </c>
      <c r="H586" t="s">
        <v>297</v>
      </c>
      <c r="I586">
        <v>8</v>
      </c>
      <c r="J586">
        <v>1</v>
      </c>
      <c r="K586">
        <v>0</v>
      </c>
      <c r="L586">
        <v>0</v>
      </c>
      <c r="M586">
        <v>8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1</v>
      </c>
      <c r="W586">
        <v>0</v>
      </c>
      <c r="X586">
        <v>0</v>
      </c>
      <c r="Y586" t="s">
        <v>4</v>
      </c>
    </row>
    <row r="587" spans="1:25" x14ac:dyDescent="0.35">
      <c r="A587">
        <v>3574</v>
      </c>
      <c r="B587" t="s">
        <v>179</v>
      </c>
      <c r="C587" t="s">
        <v>8</v>
      </c>
      <c r="D587" t="s">
        <v>207</v>
      </c>
      <c r="E587">
        <v>0</v>
      </c>
      <c r="F587">
        <v>0</v>
      </c>
      <c r="G587">
        <v>0</v>
      </c>
      <c r="H587" t="s">
        <v>297</v>
      </c>
      <c r="I587">
        <v>7</v>
      </c>
      <c r="J587">
        <v>0</v>
      </c>
      <c r="K587">
        <v>2</v>
      </c>
      <c r="L587">
        <v>0</v>
      </c>
      <c r="M587">
        <v>7</v>
      </c>
      <c r="N587">
        <v>0</v>
      </c>
      <c r="O587">
        <v>1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 t="s">
        <v>4</v>
      </c>
    </row>
    <row r="588" spans="1:25" x14ac:dyDescent="0.35">
      <c r="A588">
        <v>3635</v>
      </c>
      <c r="B588" t="s">
        <v>179</v>
      </c>
      <c r="C588" t="s">
        <v>3</v>
      </c>
      <c r="D588" t="s">
        <v>207</v>
      </c>
      <c r="E588">
        <v>0</v>
      </c>
      <c r="F588">
        <v>0</v>
      </c>
      <c r="G588">
        <v>0</v>
      </c>
      <c r="H588" t="s">
        <v>297</v>
      </c>
      <c r="I588">
        <v>5</v>
      </c>
      <c r="J588">
        <v>0</v>
      </c>
      <c r="K588">
        <v>4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1</v>
      </c>
      <c r="R588">
        <v>0</v>
      </c>
      <c r="S588">
        <v>5</v>
      </c>
      <c r="T588">
        <v>0</v>
      </c>
      <c r="U588">
        <v>0</v>
      </c>
      <c r="V588">
        <v>0</v>
      </c>
      <c r="W588">
        <v>0</v>
      </c>
      <c r="X588">
        <v>0</v>
      </c>
      <c r="Y588" t="s">
        <v>4</v>
      </c>
    </row>
    <row r="589" spans="1:25" x14ac:dyDescent="0.35">
      <c r="A589">
        <v>3691</v>
      </c>
      <c r="B589" t="s">
        <v>179</v>
      </c>
      <c r="C589" t="s">
        <v>4</v>
      </c>
      <c r="D589" t="s">
        <v>207</v>
      </c>
      <c r="E589">
        <v>1</v>
      </c>
      <c r="F589">
        <v>0</v>
      </c>
      <c r="G589">
        <v>0</v>
      </c>
      <c r="H589" t="s">
        <v>297</v>
      </c>
      <c r="I589">
        <v>5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5</v>
      </c>
      <c r="U589">
        <v>4</v>
      </c>
      <c r="V589">
        <v>0</v>
      </c>
      <c r="W589">
        <v>0</v>
      </c>
      <c r="X589">
        <v>0</v>
      </c>
      <c r="Y589" t="s">
        <v>4</v>
      </c>
    </row>
    <row r="590" spans="1:25" x14ac:dyDescent="0.35">
      <c r="A590">
        <v>3832</v>
      </c>
      <c r="B590" t="s">
        <v>179</v>
      </c>
      <c r="C590" t="s">
        <v>3</v>
      </c>
      <c r="D590" t="s">
        <v>207</v>
      </c>
      <c r="E590">
        <v>1</v>
      </c>
      <c r="F590">
        <v>0</v>
      </c>
      <c r="G590">
        <v>0</v>
      </c>
      <c r="H590" t="s">
        <v>297</v>
      </c>
      <c r="I590">
        <v>5</v>
      </c>
      <c r="J590">
        <v>0</v>
      </c>
      <c r="K590">
        <v>0</v>
      </c>
      <c r="L590">
        <v>0</v>
      </c>
      <c r="M590">
        <v>3</v>
      </c>
      <c r="N590">
        <v>0</v>
      </c>
      <c r="O590">
        <v>2</v>
      </c>
      <c r="P590">
        <v>0</v>
      </c>
      <c r="Q590">
        <v>0</v>
      </c>
      <c r="R590">
        <v>0</v>
      </c>
      <c r="S590">
        <v>5</v>
      </c>
      <c r="T590">
        <v>0</v>
      </c>
      <c r="U590">
        <v>0</v>
      </c>
      <c r="V590">
        <v>0</v>
      </c>
      <c r="W590">
        <v>0</v>
      </c>
      <c r="X590">
        <v>0</v>
      </c>
      <c r="Y590" t="s">
        <v>4</v>
      </c>
    </row>
    <row r="591" spans="1:25" x14ac:dyDescent="0.35">
      <c r="A591">
        <v>3189</v>
      </c>
      <c r="B591" t="s">
        <v>167</v>
      </c>
      <c r="C591" t="s">
        <v>11</v>
      </c>
      <c r="D591" t="s">
        <v>313</v>
      </c>
      <c r="E591">
        <v>0</v>
      </c>
      <c r="F591">
        <v>0</v>
      </c>
      <c r="G591">
        <v>0</v>
      </c>
      <c r="H591" t="s">
        <v>297</v>
      </c>
      <c r="I591">
        <v>7</v>
      </c>
      <c r="J591">
        <v>0</v>
      </c>
      <c r="K591">
        <v>0</v>
      </c>
      <c r="L591">
        <v>0</v>
      </c>
      <c r="M591">
        <v>0</v>
      </c>
      <c r="N591">
        <v>1</v>
      </c>
      <c r="O591">
        <v>2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7</v>
      </c>
      <c r="V591">
        <v>0</v>
      </c>
      <c r="W591">
        <v>0</v>
      </c>
      <c r="X591">
        <v>0</v>
      </c>
      <c r="Y591" t="s">
        <v>11</v>
      </c>
    </row>
    <row r="592" spans="1:25" x14ac:dyDescent="0.35">
      <c r="A592">
        <v>3346</v>
      </c>
      <c r="B592" t="s">
        <v>167</v>
      </c>
      <c r="C592" t="s">
        <v>11</v>
      </c>
      <c r="D592" t="s">
        <v>313</v>
      </c>
      <c r="E592">
        <v>0</v>
      </c>
      <c r="F592">
        <v>0</v>
      </c>
      <c r="G592">
        <v>0</v>
      </c>
      <c r="H592" t="s">
        <v>297</v>
      </c>
      <c r="I592">
        <v>6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3</v>
      </c>
      <c r="S592">
        <v>1</v>
      </c>
      <c r="T592">
        <v>0</v>
      </c>
      <c r="U592">
        <v>6</v>
      </c>
      <c r="V592">
        <v>0</v>
      </c>
      <c r="W592">
        <v>0</v>
      </c>
      <c r="X592">
        <v>0</v>
      </c>
      <c r="Y592" t="s">
        <v>11</v>
      </c>
    </row>
    <row r="593" spans="1:25" x14ac:dyDescent="0.35">
      <c r="A593">
        <v>3350</v>
      </c>
      <c r="B593" t="s">
        <v>167</v>
      </c>
      <c r="C593" t="s">
        <v>11</v>
      </c>
      <c r="D593" t="s">
        <v>313</v>
      </c>
      <c r="E593">
        <v>1</v>
      </c>
      <c r="F593">
        <v>0</v>
      </c>
      <c r="G593">
        <v>0</v>
      </c>
      <c r="H593" t="s">
        <v>297</v>
      </c>
      <c r="I593">
        <v>5</v>
      </c>
      <c r="J593">
        <v>0</v>
      </c>
      <c r="K593">
        <v>0</v>
      </c>
      <c r="L593">
        <v>2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3</v>
      </c>
      <c r="S593">
        <v>0</v>
      </c>
      <c r="T593">
        <v>0</v>
      </c>
      <c r="U593">
        <v>5</v>
      </c>
      <c r="V593">
        <v>0</v>
      </c>
      <c r="W593">
        <v>0</v>
      </c>
      <c r="X593">
        <v>0</v>
      </c>
      <c r="Y593" t="s">
        <v>11</v>
      </c>
    </row>
    <row r="594" spans="1:25" x14ac:dyDescent="0.35">
      <c r="A594">
        <v>3352</v>
      </c>
      <c r="B594" t="s">
        <v>167</v>
      </c>
      <c r="C594" t="s">
        <v>11</v>
      </c>
      <c r="D594" t="s">
        <v>313</v>
      </c>
      <c r="E594">
        <v>0</v>
      </c>
      <c r="F594">
        <v>0</v>
      </c>
      <c r="G594">
        <v>0</v>
      </c>
      <c r="H594" t="s">
        <v>297</v>
      </c>
      <c r="I594">
        <v>5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3</v>
      </c>
      <c r="T594">
        <v>0</v>
      </c>
      <c r="U594">
        <v>5</v>
      </c>
      <c r="V594">
        <v>2</v>
      </c>
      <c r="W594">
        <v>0</v>
      </c>
      <c r="X594">
        <v>0</v>
      </c>
      <c r="Y594" t="s">
        <v>11</v>
      </c>
    </row>
    <row r="595" spans="1:25" x14ac:dyDescent="0.35">
      <c r="A595">
        <v>3353</v>
      </c>
      <c r="B595" t="s">
        <v>167</v>
      </c>
      <c r="C595" t="s">
        <v>11</v>
      </c>
      <c r="D595" t="s">
        <v>313</v>
      </c>
      <c r="E595">
        <v>0</v>
      </c>
      <c r="F595">
        <v>0</v>
      </c>
      <c r="G595">
        <v>0</v>
      </c>
      <c r="H595" t="s">
        <v>297</v>
      </c>
      <c r="I595">
        <v>8</v>
      </c>
      <c r="J595">
        <v>0</v>
      </c>
      <c r="K595">
        <v>0</v>
      </c>
      <c r="L595">
        <v>0</v>
      </c>
      <c r="M595">
        <v>0</v>
      </c>
      <c r="N595">
        <v>1</v>
      </c>
      <c r="O595">
        <v>1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8</v>
      </c>
      <c r="V595">
        <v>0</v>
      </c>
      <c r="W595">
        <v>0</v>
      </c>
      <c r="X595">
        <v>0</v>
      </c>
      <c r="Y595" t="s">
        <v>11</v>
      </c>
    </row>
    <row r="596" spans="1:25" x14ac:dyDescent="0.35">
      <c r="A596">
        <v>3357</v>
      </c>
      <c r="B596" t="s">
        <v>167</v>
      </c>
      <c r="C596" t="s">
        <v>11</v>
      </c>
      <c r="D596" t="s">
        <v>313</v>
      </c>
      <c r="E596">
        <v>0</v>
      </c>
      <c r="F596">
        <v>0</v>
      </c>
      <c r="G596">
        <v>0</v>
      </c>
      <c r="H596" t="s">
        <v>297</v>
      </c>
      <c r="I596">
        <v>8</v>
      </c>
      <c r="J596">
        <v>0</v>
      </c>
      <c r="K596">
        <v>0</v>
      </c>
      <c r="L596">
        <v>0</v>
      </c>
      <c r="M596">
        <v>0</v>
      </c>
      <c r="N596">
        <v>1</v>
      </c>
      <c r="O596">
        <v>0</v>
      </c>
      <c r="P596">
        <v>0</v>
      </c>
      <c r="Q596">
        <v>0</v>
      </c>
      <c r="R596">
        <v>1</v>
      </c>
      <c r="S596">
        <v>0</v>
      </c>
      <c r="T596">
        <v>0</v>
      </c>
      <c r="U596">
        <v>8</v>
      </c>
      <c r="V596">
        <v>0</v>
      </c>
      <c r="W596">
        <v>0</v>
      </c>
      <c r="X596">
        <v>0</v>
      </c>
      <c r="Y596" t="s">
        <v>11</v>
      </c>
    </row>
    <row r="597" spans="1:25" x14ac:dyDescent="0.35">
      <c r="A597">
        <v>3358</v>
      </c>
      <c r="B597" t="s">
        <v>167</v>
      </c>
      <c r="C597" t="s">
        <v>11</v>
      </c>
      <c r="D597" t="s">
        <v>313</v>
      </c>
      <c r="E597">
        <v>0</v>
      </c>
      <c r="F597">
        <v>0</v>
      </c>
      <c r="G597">
        <v>0</v>
      </c>
      <c r="H597" t="s">
        <v>297</v>
      </c>
      <c r="I597">
        <v>5</v>
      </c>
      <c r="J597">
        <v>0</v>
      </c>
      <c r="K597">
        <v>0</v>
      </c>
      <c r="L597">
        <v>0</v>
      </c>
      <c r="M597">
        <v>0</v>
      </c>
      <c r="N597">
        <v>3</v>
      </c>
      <c r="O597">
        <v>0</v>
      </c>
      <c r="P597">
        <v>0</v>
      </c>
      <c r="Q597">
        <v>0</v>
      </c>
      <c r="R597">
        <v>0</v>
      </c>
      <c r="S597">
        <v>2</v>
      </c>
      <c r="T597">
        <v>0</v>
      </c>
      <c r="U597">
        <v>5</v>
      </c>
      <c r="V597">
        <v>0</v>
      </c>
      <c r="W597">
        <v>0</v>
      </c>
      <c r="X597">
        <v>0</v>
      </c>
      <c r="Y597" t="s">
        <v>11</v>
      </c>
    </row>
    <row r="598" spans="1:25" x14ac:dyDescent="0.35">
      <c r="A598">
        <v>3360</v>
      </c>
      <c r="B598" t="s">
        <v>167</v>
      </c>
      <c r="C598" t="s">
        <v>11</v>
      </c>
      <c r="D598" t="s">
        <v>313</v>
      </c>
      <c r="E598">
        <v>1</v>
      </c>
      <c r="F598">
        <v>0</v>
      </c>
      <c r="G598">
        <v>0</v>
      </c>
      <c r="H598" t="s">
        <v>297</v>
      </c>
      <c r="I598">
        <v>8</v>
      </c>
      <c r="J598">
        <v>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1</v>
      </c>
      <c r="T598">
        <v>0</v>
      </c>
      <c r="U598">
        <v>8</v>
      </c>
      <c r="V598">
        <v>0</v>
      </c>
      <c r="W598">
        <v>0</v>
      </c>
      <c r="X598">
        <v>0</v>
      </c>
      <c r="Y598" t="s">
        <v>11</v>
      </c>
    </row>
    <row r="599" spans="1:25" x14ac:dyDescent="0.35">
      <c r="A599">
        <v>3361</v>
      </c>
      <c r="B599" t="s">
        <v>167</v>
      </c>
      <c r="C599" t="s">
        <v>11</v>
      </c>
      <c r="D599" t="s">
        <v>313</v>
      </c>
      <c r="E599">
        <v>0</v>
      </c>
      <c r="F599">
        <v>0</v>
      </c>
      <c r="G599">
        <v>0</v>
      </c>
      <c r="H599" t="s">
        <v>297</v>
      </c>
      <c r="I599">
        <v>8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1</v>
      </c>
      <c r="R599">
        <v>1</v>
      </c>
      <c r="S599">
        <v>0</v>
      </c>
      <c r="T599">
        <v>0</v>
      </c>
      <c r="U599">
        <v>8</v>
      </c>
      <c r="V599">
        <v>0</v>
      </c>
      <c r="W599">
        <v>0</v>
      </c>
      <c r="X599">
        <v>0</v>
      </c>
      <c r="Y599" t="s">
        <v>11</v>
      </c>
    </row>
    <row r="600" spans="1:25" x14ac:dyDescent="0.35">
      <c r="A600">
        <v>3363</v>
      </c>
      <c r="B600" t="s">
        <v>167</v>
      </c>
      <c r="C600" t="s">
        <v>11</v>
      </c>
      <c r="D600" t="s">
        <v>313</v>
      </c>
      <c r="E600">
        <v>1</v>
      </c>
      <c r="F600">
        <v>0</v>
      </c>
      <c r="G600">
        <v>0</v>
      </c>
      <c r="H600" t="s">
        <v>297</v>
      </c>
      <c r="I600">
        <v>9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9</v>
      </c>
      <c r="V600">
        <v>0</v>
      </c>
      <c r="W600">
        <v>0</v>
      </c>
      <c r="X600">
        <v>0</v>
      </c>
      <c r="Y600" t="s">
        <v>11</v>
      </c>
    </row>
    <row r="601" spans="1:25" x14ac:dyDescent="0.35">
      <c r="A601">
        <v>3366</v>
      </c>
      <c r="B601" t="s">
        <v>167</v>
      </c>
      <c r="C601" t="s">
        <v>11</v>
      </c>
      <c r="D601" t="s">
        <v>313</v>
      </c>
      <c r="E601">
        <v>1</v>
      </c>
      <c r="F601">
        <v>0</v>
      </c>
      <c r="G601">
        <v>0</v>
      </c>
      <c r="H601" t="s">
        <v>297</v>
      </c>
      <c r="I601">
        <v>7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2</v>
      </c>
      <c r="S601">
        <v>0</v>
      </c>
      <c r="T601">
        <v>0</v>
      </c>
      <c r="U601">
        <v>7</v>
      </c>
      <c r="V601">
        <v>0</v>
      </c>
      <c r="W601">
        <v>0</v>
      </c>
      <c r="X601">
        <v>0</v>
      </c>
      <c r="Y601" t="s">
        <v>11</v>
      </c>
    </row>
    <row r="602" spans="1:25" x14ac:dyDescent="0.35">
      <c r="A602">
        <v>3699</v>
      </c>
      <c r="B602" t="s">
        <v>167</v>
      </c>
      <c r="C602" t="s">
        <v>11</v>
      </c>
      <c r="D602" t="s">
        <v>313</v>
      </c>
      <c r="E602">
        <v>1</v>
      </c>
      <c r="F602">
        <v>0</v>
      </c>
      <c r="G602">
        <v>0</v>
      </c>
      <c r="H602" t="s">
        <v>297</v>
      </c>
      <c r="I602">
        <v>8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1</v>
      </c>
      <c r="S602">
        <v>1</v>
      </c>
      <c r="T602">
        <v>0</v>
      </c>
      <c r="U602">
        <v>8</v>
      </c>
      <c r="V602">
        <v>0</v>
      </c>
      <c r="W602">
        <v>0</v>
      </c>
      <c r="X602">
        <v>0</v>
      </c>
      <c r="Y602" t="s">
        <v>11</v>
      </c>
    </row>
    <row r="603" spans="1:25" x14ac:dyDescent="0.35">
      <c r="A603">
        <v>3708</v>
      </c>
      <c r="B603" t="s">
        <v>167</v>
      </c>
      <c r="C603" t="s">
        <v>11</v>
      </c>
      <c r="D603" t="s">
        <v>313</v>
      </c>
      <c r="E603">
        <v>0</v>
      </c>
      <c r="F603">
        <v>0</v>
      </c>
      <c r="G603">
        <v>0</v>
      </c>
      <c r="H603" t="s">
        <v>297</v>
      </c>
      <c r="I603">
        <v>5</v>
      </c>
      <c r="J603">
        <v>0</v>
      </c>
      <c r="K603">
        <v>0</v>
      </c>
      <c r="L603">
        <v>0</v>
      </c>
      <c r="M603">
        <v>0</v>
      </c>
      <c r="N603">
        <v>5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5</v>
      </c>
      <c r="V603">
        <v>0</v>
      </c>
      <c r="W603">
        <v>0</v>
      </c>
      <c r="X603">
        <v>0</v>
      </c>
      <c r="Y603" t="s">
        <v>11</v>
      </c>
    </row>
    <row r="604" spans="1:25" x14ac:dyDescent="0.35">
      <c r="A604">
        <v>3713</v>
      </c>
      <c r="B604" t="s">
        <v>167</v>
      </c>
      <c r="C604" t="s">
        <v>11</v>
      </c>
      <c r="D604" t="s">
        <v>313</v>
      </c>
      <c r="E604">
        <v>1</v>
      </c>
      <c r="F604">
        <v>0</v>
      </c>
      <c r="G604">
        <v>0</v>
      </c>
      <c r="H604" t="s">
        <v>297</v>
      </c>
      <c r="I604">
        <v>5</v>
      </c>
      <c r="J604">
        <v>4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5</v>
      </c>
      <c r="V604">
        <v>0</v>
      </c>
      <c r="W604">
        <v>0</v>
      </c>
      <c r="X604">
        <v>1</v>
      </c>
      <c r="Y604" t="s">
        <v>11</v>
      </c>
    </row>
    <row r="605" spans="1:25" x14ac:dyDescent="0.35">
      <c r="A605">
        <v>3150</v>
      </c>
      <c r="B605" t="s">
        <v>149</v>
      </c>
      <c r="C605" t="s">
        <v>3</v>
      </c>
      <c r="D605" t="s">
        <v>312</v>
      </c>
      <c r="E605">
        <v>1</v>
      </c>
      <c r="F605">
        <v>0</v>
      </c>
      <c r="G605">
        <v>0</v>
      </c>
      <c r="H605" t="s">
        <v>297</v>
      </c>
      <c r="I605">
        <v>8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1</v>
      </c>
      <c r="S605">
        <v>8</v>
      </c>
      <c r="T605">
        <v>0</v>
      </c>
      <c r="U605">
        <v>1</v>
      </c>
      <c r="V605">
        <v>0</v>
      </c>
      <c r="W605">
        <v>0</v>
      </c>
      <c r="X605">
        <v>0</v>
      </c>
      <c r="Y605" t="s">
        <v>3</v>
      </c>
    </row>
    <row r="606" spans="1:25" x14ac:dyDescent="0.35">
      <c r="A606">
        <v>3232</v>
      </c>
      <c r="B606" t="s">
        <v>149</v>
      </c>
      <c r="C606" t="s">
        <v>3</v>
      </c>
      <c r="D606" t="s">
        <v>312</v>
      </c>
      <c r="E606">
        <v>0</v>
      </c>
      <c r="F606">
        <v>0</v>
      </c>
      <c r="G606">
        <v>0</v>
      </c>
      <c r="H606" t="s">
        <v>297</v>
      </c>
      <c r="I606">
        <v>5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3</v>
      </c>
      <c r="P606">
        <v>0</v>
      </c>
      <c r="Q606">
        <v>0</v>
      </c>
      <c r="R606">
        <v>0</v>
      </c>
      <c r="S606">
        <v>5</v>
      </c>
      <c r="T606">
        <v>2</v>
      </c>
      <c r="U606">
        <v>0</v>
      </c>
      <c r="V606">
        <v>0</v>
      </c>
      <c r="W606">
        <v>0</v>
      </c>
      <c r="X606">
        <v>0</v>
      </c>
      <c r="Y606" t="s">
        <v>3</v>
      </c>
    </row>
    <row r="607" spans="1:25" x14ac:dyDescent="0.35">
      <c r="A607">
        <v>3336</v>
      </c>
      <c r="B607" t="s">
        <v>149</v>
      </c>
      <c r="C607" t="s">
        <v>3</v>
      </c>
      <c r="D607" t="s">
        <v>312</v>
      </c>
      <c r="E607">
        <v>0</v>
      </c>
      <c r="F607">
        <v>0</v>
      </c>
      <c r="G607">
        <v>0</v>
      </c>
      <c r="H607" t="s">
        <v>297</v>
      </c>
      <c r="I607">
        <v>5</v>
      </c>
      <c r="J607">
        <v>0</v>
      </c>
      <c r="K607">
        <v>0</v>
      </c>
      <c r="L607">
        <v>0</v>
      </c>
      <c r="M607">
        <v>5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5</v>
      </c>
      <c r="T607">
        <v>0</v>
      </c>
      <c r="U607">
        <v>0</v>
      </c>
      <c r="V607">
        <v>0</v>
      </c>
      <c r="W607">
        <v>0</v>
      </c>
      <c r="X607">
        <v>0</v>
      </c>
      <c r="Y607" t="s">
        <v>3</v>
      </c>
    </row>
    <row r="608" spans="1:25" x14ac:dyDescent="0.35">
      <c r="A608">
        <v>3433</v>
      </c>
      <c r="B608" t="s">
        <v>149</v>
      </c>
      <c r="C608" t="s">
        <v>3</v>
      </c>
      <c r="D608" t="s">
        <v>312</v>
      </c>
      <c r="E608">
        <v>0</v>
      </c>
      <c r="F608">
        <v>0</v>
      </c>
      <c r="G608">
        <v>0</v>
      </c>
      <c r="H608" t="s">
        <v>297</v>
      </c>
      <c r="I608">
        <v>7</v>
      </c>
      <c r="J608">
        <v>0</v>
      </c>
      <c r="K608">
        <v>0</v>
      </c>
      <c r="L608">
        <v>0</v>
      </c>
      <c r="M608">
        <v>0</v>
      </c>
      <c r="N608">
        <v>1</v>
      </c>
      <c r="O608">
        <v>0</v>
      </c>
      <c r="P608">
        <v>0</v>
      </c>
      <c r="Q608">
        <v>2</v>
      </c>
      <c r="R608">
        <v>0</v>
      </c>
      <c r="S608">
        <v>7</v>
      </c>
      <c r="T608">
        <v>0</v>
      </c>
      <c r="U608">
        <v>0</v>
      </c>
      <c r="V608">
        <v>0</v>
      </c>
      <c r="W608">
        <v>0</v>
      </c>
      <c r="X608">
        <v>0</v>
      </c>
      <c r="Y608" t="s">
        <v>3</v>
      </c>
    </row>
    <row r="609" spans="1:25" x14ac:dyDescent="0.35">
      <c r="A609">
        <v>3550</v>
      </c>
      <c r="B609" t="s">
        <v>149</v>
      </c>
      <c r="C609" t="s">
        <v>3</v>
      </c>
      <c r="D609" t="s">
        <v>312</v>
      </c>
      <c r="E609">
        <v>1</v>
      </c>
      <c r="F609">
        <v>0</v>
      </c>
      <c r="G609">
        <v>0</v>
      </c>
      <c r="H609" t="s">
        <v>297</v>
      </c>
      <c r="I609">
        <v>7</v>
      </c>
      <c r="J609">
        <v>0</v>
      </c>
      <c r="K609">
        <v>0</v>
      </c>
      <c r="L609">
        <v>2</v>
      </c>
      <c r="M609">
        <v>0</v>
      </c>
      <c r="N609">
        <v>0</v>
      </c>
      <c r="O609">
        <v>1</v>
      </c>
      <c r="P609">
        <v>0</v>
      </c>
      <c r="Q609">
        <v>0</v>
      </c>
      <c r="R609">
        <v>0</v>
      </c>
      <c r="S609">
        <v>7</v>
      </c>
      <c r="T609">
        <v>0</v>
      </c>
      <c r="U609">
        <v>0</v>
      </c>
      <c r="V609">
        <v>0</v>
      </c>
      <c r="W609">
        <v>0</v>
      </c>
      <c r="X609">
        <v>0</v>
      </c>
      <c r="Y609" t="s">
        <v>3</v>
      </c>
    </row>
    <row r="610" spans="1:25" x14ac:dyDescent="0.35">
      <c r="A610">
        <v>3553</v>
      </c>
      <c r="B610" t="s">
        <v>149</v>
      </c>
      <c r="C610" t="s">
        <v>3</v>
      </c>
      <c r="D610" t="s">
        <v>312</v>
      </c>
      <c r="E610">
        <v>0</v>
      </c>
      <c r="F610">
        <v>0</v>
      </c>
      <c r="G610">
        <v>0</v>
      </c>
      <c r="H610" t="s">
        <v>297</v>
      </c>
      <c r="I610">
        <v>8</v>
      </c>
      <c r="J610">
        <v>0</v>
      </c>
      <c r="K610">
        <v>0</v>
      </c>
      <c r="L610">
        <v>1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8</v>
      </c>
      <c r="T610">
        <v>0</v>
      </c>
      <c r="U610">
        <v>1</v>
      </c>
      <c r="V610">
        <v>0</v>
      </c>
      <c r="W610">
        <v>0</v>
      </c>
      <c r="X610">
        <v>0</v>
      </c>
      <c r="Y610" t="s">
        <v>3</v>
      </c>
    </row>
    <row r="611" spans="1:25" x14ac:dyDescent="0.35">
      <c r="A611">
        <v>3630</v>
      </c>
      <c r="B611" t="s">
        <v>149</v>
      </c>
      <c r="C611" t="s">
        <v>3</v>
      </c>
      <c r="D611" t="s">
        <v>312</v>
      </c>
      <c r="E611">
        <v>1</v>
      </c>
      <c r="F611">
        <v>0</v>
      </c>
      <c r="G611">
        <v>0</v>
      </c>
      <c r="H611" t="s">
        <v>297</v>
      </c>
      <c r="I611">
        <v>6</v>
      </c>
      <c r="J611">
        <v>1</v>
      </c>
      <c r="K611">
        <v>3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6</v>
      </c>
      <c r="T611">
        <v>0</v>
      </c>
      <c r="U611">
        <v>0</v>
      </c>
      <c r="V611">
        <v>0</v>
      </c>
      <c r="W611">
        <v>0</v>
      </c>
      <c r="X611">
        <v>0</v>
      </c>
      <c r="Y611" t="s">
        <v>3</v>
      </c>
    </row>
    <row r="612" spans="1:25" x14ac:dyDescent="0.35">
      <c r="A612">
        <v>3636</v>
      </c>
      <c r="B612" t="s">
        <v>149</v>
      </c>
      <c r="C612" t="s">
        <v>3</v>
      </c>
      <c r="D612" t="s">
        <v>312</v>
      </c>
      <c r="E612">
        <v>1</v>
      </c>
      <c r="F612">
        <v>0</v>
      </c>
      <c r="G612">
        <v>0</v>
      </c>
      <c r="H612" t="s">
        <v>297</v>
      </c>
      <c r="I612">
        <v>6</v>
      </c>
      <c r="J612">
        <v>0</v>
      </c>
      <c r="K612">
        <v>2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6</v>
      </c>
      <c r="T612">
        <v>0</v>
      </c>
      <c r="U612">
        <v>0</v>
      </c>
      <c r="V612">
        <v>2</v>
      </c>
      <c r="W612">
        <v>0</v>
      </c>
      <c r="X612">
        <v>0</v>
      </c>
      <c r="Y612" t="s">
        <v>3</v>
      </c>
    </row>
    <row r="613" spans="1:25" x14ac:dyDescent="0.35">
      <c r="A613">
        <v>3673</v>
      </c>
      <c r="B613" t="s">
        <v>149</v>
      </c>
      <c r="C613" t="s">
        <v>3</v>
      </c>
      <c r="D613" t="s">
        <v>312</v>
      </c>
      <c r="E613">
        <v>0</v>
      </c>
      <c r="F613">
        <v>0</v>
      </c>
      <c r="G613">
        <v>0</v>
      </c>
      <c r="H613" t="s">
        <v>297</v>
      </c>
      <c r="I613">
        <v>7</v>
      </c>
      <c r="J613">
        <v>0</v>
      </c>
      <c r="K613">
        <v>0</v>
      </c>
      <c r="L613">
        <v>0</v>
      </c>
      <c r="M613">
        <v>0</v>
      </c>
      <c r="N613">
        <v>2</v>
      </c>
      <c r="O613">
        <v>0</v>
      </c>
      <c r="P613">
        <v>0</v>
      </c>
      <c r="Q613">
        <v>1</v>
      </c>
      <c r="R613">
        <v>0</v>
      </c>
      <c r="S613">
        <v>7</v>
      </c>
      <c r="T613">
        <v>0</v>
      </c>
      <c r="U613">
        <v>0</v>
      </c>
      <c r="V613">
        <v>0</v>
      </c>
      <c r="W613">
        <v>0</v>
      </c>
      <c r="X613">
        <v>0</v>
      </c>
      <c r="Y613" t="s">
        <v>3</v>
      </c>
    </row>
    <row r="614" spans="1:25" x14ac:dyDescent="0.35">
      <c r="A614">
        <v>3739</v>
      </c>
      <c r="B614" t="s">
        <v>149</v>
      </c>
      <c r="C614" t="s">
        <v>3</v>
      </c>
      <c r="D614" t="s">
        <v>312</v>
      </c>
      <c r="E614">
        <v>0</v>
      </c>
      <c r="F614">
        <v>1</v>
      </c>
      <c r="G614">
        <v>0</v>
      </c>
      <c r="H614" t="s">
        <v>297</v>
      </c>
      <c r="I614">
        <v>8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1</v>
      </c>
      <c r="Q614">
        <v>0</v>
      </c>
      <c r="R614">
        <v>0</v>
      </c>
      <c r="S614">
        <v>8</v>
      </c>
      <c r="T614">
        <v>1</v>
      </c>
      <c r="U614">
        <v>0</v>
      </c>
      <c r="V614">
        <v>0</v>
      </c>
      <c r="W614">
        <v>0</v>
      </c>
      <c r="X614">
        <v>0</v>
      </c>
      <c r="Y614" t="s">
        <v>3</v>
      </c>
    </row>
    <row r="615" spans="1:25" x14ac:dyDescent="0.35">
      <c r="A615">
        <v>3774</v>
      </c>
      <c r="B615" t="s">
        <v>149</v>
      </c>
      <c r="C615" t="s">
        <v>3</v>
      </c>
      <c r="D615" t="s">
        <v>312</v>
      </c>
      <c r="E615">
        <v>0</v>
      </c>
      <c r="F615">
        <v>0</v>
      </c>
      <c r="G615">
        <v>0</v>
      </c>
      <c r="H615" t="s">
        <v>297</v>
      </c>
      <c r="I615">
        <v>7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7</v>
      </c>
      <c r="T615">
        <v>2</v>
      </c>
      <c r="U615">
        <v>0</v>
      </c>
      <c r="V615">
        <v>0</v>
      </c>
      <c r="W615">
        <v>0</v>
      </c>
      <c r="X615">
        <v>1</v>
      </c>
      <c r="Y615" t="s">
        <v>3</v>
      </c>
    </row>
    <row r="616" spans="1:25" x14ac:dyDescent="0.35">
      <c r="A616">
        <v>3777</v>
      </c>
      <c r="B616" t="s">
        <v>149</v>
      </c>
      <c r="C616" t="s">
        <v>3</v>
      </c>
      <c r="D616" t="s">
        <v>312</v>
      </c>
      <c r="E616">
        <v>1</v>
      </c>
      <c r="F616">
        <v>0</v>
      </c>
      <c r="G616">
        <v>0</v>
      </c>
      <c r="H616" t="s">
        <v>297</v>
      </c>
      <c r="I616">
        <v>8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8</v>
      </c>
      <c r="T616">
        <v>1</v>
      </c>
      <c r="U616">
        <v>0</v>
      </c>
      <c r="V616">
        <v>0</v>
      </c>
      <c r="W616">
        <v>0</v>
      </c>
      <c r="X616">
        <v>0</v>
      </c>
      <c r="Y616" t="s">
        <v>3</v>
      </c>
    </row>
    <row r="617" spans="1:25" x14ac:dyDescent="0.35">
      <c r="A617">
        <v>3781</v>
      </c>
      <c r="B617" t="s">
        <v>149</v>
      </c>
      <c r="C617" t="s">
        <v>3</v>
      </c>
      <c r="D617" t="s">
        <v>312</v>
      </c>
      <c r="E617">
        <v>0</v>
      </c>
      <c r="F617">
        <v>1</v>
      </c>
      <c r="G617">
        <v>0</v>
      </c>
      <c r="H617" t="s">
        <v>297</v>
      </c>
      <c r="I617">
        <v>6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3</v>
      </c>
      <c r="R617">
        <v>0</v>
      </c>
      <c r="S617">
        <v>6</v>
      </c>
      <c r="T617">
        <v>0</v>
      </c>
      <c r="U617">
        <v>1</v>
      </c>
      <c r="V617">
        <v>0</v>
      </c>
      <c r="W617">
        <v>0</v>
      </c>
      <c r="X617">
        <v>0</v>
      </c>
      <c r="Y617" t="s">
        <v>3</v>
      </c>
    </row>
    <row r="618" spans="1:25" x14ac:dyDescent="0.35">
      <c r="A618">
        <v>3782</v>
      </c>
      <c r="B618" t="s">
        <v>149</v>
      </c>
      <c r="C618" t="s">
        <v>3</v>
      </c>
      <c r="D618" t="s">
        <v>312</v>
      </c>
      <c r="E618">
        <v>0</v>
      </c>
      <c r="F618">
        <v>0</v>
      </c>
      <c r="G618">
        <v>0</v>
      </c>
      <c r="H618" t="s">
        <v>297</v>
      </c>
      <c r="I618">
        <v>7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2</v>
      </c>
      <c r="P618">
        <v>0</v>
      </c>
      <c r="Q618">
        <v>0</v>
      </c>
      <c r="R618">
        <v>0</v>
      </c>
      <c r="S618">
        <v>7</v>
      </c>
      <c r="T618">
        <v>0</v>
      </c>
      <c r="U618">
        <v>0</v>
      </c>
      <c r="V618">
        <v>0</v>
      </c>
      <c r="W618">
        <v>0</v>
      </c>
      <c r="X618">
        <v>1</v>
      </c>
      <c r="Y618" t="s">
        <v>3</v>
      </c>
    </row>
    <row r="619" spans="1:25" x14ac:dyDescent="0.35">
      <c r="A619">
        <v>3831</v>
      </c>
      <c r="B619" t="s">
        <v>149</v>
      </c>
      <c r="C619" t="s">
        <v>3</v>
      </c>
      <c r="D619" t="s">
        <v>312</v>
      </c>
      <c r="E619">
        <v>0</v>
      </c>
      <c r="F619">
        <v>1</v>
      </c>
      <c r="G619">
        <v>0</v>
      </c>
      <c r="H619" t="s">
        <v>297</v>
      </c>
      <c r="I619">
        <v>8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8</v>
      </c>
      <c r="T619">
        <v>1</v>
      </c>
      <c r="U619">
        <v>0</v>
      </c>
      <c r="V619">
        <v>0</v>
      </c>
      <c r="W619">
        <v>0</v>
      </c>
      <c r="X619">
        <v>0</v>
      </c>
      <c r="Y619" t="s">
        <v>3</v>
      </c>
    </row>
    <row r="620" spans="1:25" x14ac:dyDescent="0.35">
      <c r="A620">
        <v>3122</v>
      </c>
      <c r="B620" t="s">
        <v>181</v>
      </c>
      <c r="C620" t="s">
        <v>13</v>
      </c>
      <c r="D620" t="s">
        <v>292</v>
      </c>
      <c r="E620">
        <v>1</v>
      </c>
      <c r="F620">
        <v>0</v>
      </c>
      <c r="G620">
        <v>0</v>
      </c>
      <c r="H620" t="s">
        <v>297</v>
      </c>
      <c r="I620">
        <v>7</v>
      </c>
      <c r="J620">
        <v>1</v>
      </c>
      <c r="K620">
        <v>0</v>
      </c>
      <c r="L620">
        <v>0</v>
      </c>
      <c r="M620">
        <v>2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7</v>
      </c>
      <c r="Y620" t="s">
        <v>6</v>
      </c>
    </row>
    <row r="621" spans="1:25" x14ac:dyDescent="0.35">
      <c r="A621">
        <v>3126</v>
      </c>
      <c r="B621" t="s">
        <v>181</v>
      </c>
      <c r="C621" t="s">
        <v>13</v>
      </c>
      <c r="D621" t="s">
        <v>292</v>
      </c>
      <c r="E621">
        <v>0</v>
      </c>
      <c r="F621">
        <v>0</v>
      </c>
      <c r="G621">
        <v>1</v>
      </c>
      <c r="H621" t="s">
        <v>297</v>
      </c>
      <c r="I621">
        <v>7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2</v>
      </c>
      <c r="P621">
        <v>0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7</v>
      </c>
      <c r="Y621" t="s">
        <v>6</v>
      </c>
    </row>
    <row r="622" spans="1:25" x14ac:dyDescent="0.35">
      <c r="A622">
        <v>3184</v>
      </c>
      <c r="B622" t="s">
        <v>181</v>
      </c>
      <c r="C622" t="s">
        <v>6</v>
      </c>
      <c r="D622" t="s">
        <v>292</v>
      </c>
      <c r="E622">
        <v>1</v>
      </c>
      <c r="F622">
        <v>0</v>
      </c>
      <c r="G622">
        <v>1</v>
      </c>
      <c r="H622" t="s">
        <v>297</v>
      </c>
      <c r="I622">
        <v>7</v>
      </c>
      <c r="J622">
        <v>0</v>
      </c>
      <c r="K622">
        <v>0</v>
      </c>
      <c r="L622">
        <v>0</v>
      </c>
      <c r="M622">
        <v>0</v>
      </c>
      <c r="N622">
        <v>2</v>
      </c>
      <c r="O622">
        <v>1</v>
      </c>
      <c r="P622">
        <v>0</v>
      </c>
      <c r="Q622">
        <v>0</v>
      </c>
      <c r="R622">
        <v>7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 t="s">
        <v>6</v>
      </c>
    </row>
    <row r="623" spans="1:25" x14ac:dyDescent="0.35">
      <c r="A623">
        <v>3191</v>
      </c>
      <c r="B623" t="s">
        <v>181</v>
      </c>
      <c r="C623" t="s">
        <v>6</v>
      </c>
      <c r="D623" t="s">
        <v>292</v>
      </c>
      <c r="E623">
        <v>0</v>
      </c>
      <c r="F623">
        <v>0</v>
      </c>
      <c r="G623">
        <v>0</v>
      </c>
      <c r="H623" t="s">
        <v>297</v>
      </c>
      <c r="I623">
        <v>7</v>
      </c>
      <c r="J623">
        <v>0</v>
      </c>
      <c r="K623">
        <v>0</v>
      </c>
      <c r="L623">
        <v>0</v>
      </c>
      <c r="M623">
        <v>0</v>
      </c>
      <c r="N623">
        <v>2</v>
      </c>
      <c r="O623">
        <v>0</v>
      </c>
      <c r="P623">
        <v>0</v>
      </c>
      <c r="Q623">
        <v>0</v>
      </c>
      <c r="R623">
        <v>7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1</v>
      </c>
      <c r="Y623" t="s">
        <v>6</v>
      </c>
    </row>
    <row r="624" spans="1:25" x14ac:dyDescent="0.35">
      <c r="A624">
        <v>3196</v>
      </c>
      <c r="B624" t="s">
        <v>181</v>
      </c>
      <c r="C624" t="s">
        <v>6</v>
      </c>
      <c r="D624" t="s">
        <v>292</v>
      </c>
      <c r="E624">
        <v>0</v>
      </c>
      <c r="F624">
        <v>0</v>
      </c>
      <c r="G624">
        <v>0</v>
      </c>
      <c r="H624" t="s">
        <v>297</v>
      </c>
      <c r="I624">
        <v>8</v>
      </c>
      <c r="J624">
        <v>0</v>
      </c>
      <c r="K624">
        <v>0</v>
      </c>
      <c r="L624">
        <v>0</v>
      </c>
      <c r="M624">
        <v>0</v>
      </c>
      <c r="N624">
        <v>1</v>
      </c>
      <c r="O624">
        <v>1</v>
      </c>
      <c r="P624">
        <v>0</v>
      </c>
      <c r="Q624">
        <v>0</v>
      </c>
      <c r="R624">
        <v>8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 t="s">
        <v>6</v>
      </c>
    </row>
    <row r="625" spans="1:25" x14ac:dyDescent="0.35">
      <c r="A625">
        <v>3197</v>
      </c>
      <c r="B625" t="s">
        <v>181</v>
      </c>
      <c r="C625" t="s">
        <v>6</v>
      </c>
      <c r="D625" t="s">
        <v>292</v>
      </c>
      <c r="E625">
        <v>1</v>
      </c>
      <c r="F625">
        <v>0</v>
      </c>
      <c r="G625">
        <v>0</v>
      </c>
      <c r="H625" t="s">
        <v>297</v>
      </c>
      <c r="I625">
        <v>5</v>
      </c>
      <c r="J625">
        <v>0</v>
      </c>
      <c r="K625">
        <v>0</v>
      </c>
      <c r="L625">
        <v>0</v>
      </c>
      <c r="M625">
        <v>0</v>
      </c>
      <c r="N625">
        <v>4</v>
      </c>
      <c r="O625">
        <v>0</v>
      </c>
      <c r="P625">
        <v>0</v>
      </c>
      <c r="Q625">
        <v>0</v>
      </c>
      <c r="R625">
        <v>5</v>
      </c>
      <c r="S625">
        <v>1</v>
      </c>
      <c r="T625">
        <v>0</v>
      </c>
      <c r="U625">
        <v>0</v>
      </c>
      <c r="V625">
        <v>0</v>
      </c>
      <c r="W625">
        <v>0</v>
      </c>
      <c r="X625">
        <v>0</v>
      </c>
      <c r="Y625" t="s">
        <v>6</v>
      </c>
    </row>
    <row r="626" spans="1:25" x14ac:dyDescent="0.35">
      <c r="A626">
        <v>3200</v>
      </c>
      <c r="B626" t="s">
        <v>181</v>
      </c>
      <c r="C626" t="s">
        <v>6</v>
      </c>
      <c r="D626" t="s">
        <v>292</v>
      </c>
      <c r="E626">
        <v>1</v>
      </c>
      <c r="F626">
        <v>0</v>
      </c>
      <c r="G626">
        <v>0</v>
      </c>
      <c r="H626" t="s">
        <v>297</v>
      </c>
      <c r="I626">
        <v>8</v>
      </c>
      <c r="J626">
        <v>0</v>
      </c>
      <c r="K626">
        <v>0</v>
      </c>
      <c r="L626">
        <v>0</v>
      </c>
      <c r="M626">
        <v>0</v>
      </c>
      <c r="N626">
        <v>1</v>
      </c>
      <c r="O626">
        <v>1</v>
      </c>
      <c r="P626">
        <v>0</v>
      </c>
      <c r="Q626">
        <v>0</v>
      </c>
      <c r="R626">
        <v>8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 t="s">
        <v>6</v>
      </c>
    </row>
    <row r="627" spans="1:25" x14ac:dyDescent="0.35">
      <c r="A627">
        <v>3420</v>
      </c>
      <c r="B627" t="s">
        <v>181</v>
      </c>
      <c r="C627" t="s">
        <v>6</v>
      </c>
      <c r="D627" t="s">
        <v>292</v>
      </c>
      <c r="E627">
        <v>1</v>
      </c>
      <c r="F627">
        <v>0</v>
      </c>
      <c r="G627">
        <v>0</v>
      </c>
      <c r="H627" t="s">
        <v>297</v>
      </c>
      <c r="I627">
        <v>5</v>
      </c>
      <c r="J627">
        <v>0</v>
      </c>
      <c r="K627">
        <v>0</v>
      </c>
      <c r="L627">
        <v>0</v>
      </c>
      <c r="M627">
        <v>0</v>
      </c>
      <c r="N627">
        <v>5</v>
      </c>
      <c r="O627">
        <v>0</v>
      </c>
      <c r="P627">
        <v>0</v>
      </c>
      <c r="Q627">
        <v>0</v>
      </c>
      <c r="R627">
        <v>5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 t="s">
        <v>6</v>
      </c>
    </row>
    <row r="628" spans="1:25" x14ac:dyDescent="0.35">
      <c r="A628">
        <v>3511</v>
      </c>
      <c r="B628" t="s">
        <v>181</v>
      </c>
      <c r="C628" t="s">
        <v>13</v>
      </c>
      <c r="D628" t="s">
        <v>292</v>
      </c>
      <c r="E628">
        <v>1</v>
      </c>
      <c r="F628">
        <v>0</v>
      </c>
      <c r="G628">
        <v>0</v>
      </c>
      <c r="H628" t="s">
        <v>297</v>
      </c>
      <c r="I628">
        <v>10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10</v>
      </c>
      <c r="Y628" t="s">
        <v>6</v>
      </c>
    </row>
    <row r="629" spans="1:25" x14ac:dyDescent="0.35">
      <c r="A629">
        <v>3697</v>
      </c>
      <c r="B629" t="s">
        <v>181</v>
      </c>
      <c r="C629" t="s">
        <v>6</v>
      </c>
      <c r="D629" t="s">
        <v>292</v>
      </c>
      <c r="E629">
        <v>1</v>
      </c>
      <c r="F629">
        <v>0</v>
      </c>
      <c r="G629">
        <v>0</v>
      </c>
      <c r="H629" t="s">
        <v>297</v>
      </c>
      <c r="I629">
        <v>6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6</v>
      </c>
      <c r="S629">
        <v>0</v>
      </c>
      <c r="T629">
        <v>0</v>
      </c>
      <c r="U629">
        <v>4</v>
      </c>
      <c r="V629">
        <v>0</v>
      </c>
      <c r="W629">
        <v>0</v>
      </c>
      <c r="X629">
        <v>0</v>
      </c>
      <c r="Y629" t="s">
        <v>6</v>
      </c>
    </row>
    <row r="630" spans="1:25" x14ac:dyDescent="0.35">
      <c r="A630">
        <v>3703</v>
      </c>
      <c r="B630" t="s">
        <v>181</v>
      </c>
      <c r="C630" t="s">
        <v>6</v>
      </c>
      <c r="D630" t="s">
        <v>292</v>
      </c>
      <c r="E630">
        <v>0</v>
      </c>
      <c r="F630">
        <v>0</v>
      </c>
      <c r="G630">
        <v>0</v>
      </c>
      <c r="H630" t="s">
        <v>297</v>
      </c>
      <c r="I630">
        <v>7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7</v>
      </c>
      <c r="S630">
        <v>0</v>
      </c>
      <c r="T630">
        <v>0</v>
      </c>
      <c r="U630">
        <v>2</v>
      </c>
      <c r="V630">
        <v>0</v>
      </c>
      <c r="W630">
        <v>0</v>
      </c>
      <c r="X630">
        <v>1</v>
      </c>
      <c r="Y630" t="s">
        <v>6</v>
      </c>
    </row>
    <row r="631" spans="1:25" x14ac:dyDescent="0.35">
      <c r="A631">
        <v>3707</v>
      </c>
      <c r="B631" t="s">
        <v>181</v>
      </c>
      <c r="C631" t="s">
        <v>6</v>
      </c>
      <c r="D631" t="s">
        <v>292</v>
      </c>
      <c r="E631">
        <v>1</v>
      </c>
      <c r="F631">
        <v>0</v>
      </c>
      <c r="G631">
        <v>0</v>
      </c>
      <c r="H631" t="s">
        <v>297</v>
      </c>
      <c r="I631">
        <v>7</v>
      </c>
      <c r="J631">
        <v>0</v>
      </c>
      <c r="K631">
        <v>0</v>
      </c>
      <c r="L631">
        <v>0</v>
      </c>
      <c r="M631">
        <v>0</v>
      </c>
      <c r="N631">
        <v>1</v>
      </c>
      <c r="O631">
        <v>0</v>
      </c>
      <c r="P631">
        <v>0</v>
      </c>
      <c r="Q631">
        <v>0</v>
      </c>
      <c r="R631">
        <v>7</v>
      </c>
      <c r="S631">
        <v>0</v>
      </c>
      <c r="T631">
        <v>0</v>
      </c>
      <c r="U631">
        <v>2</v>
      </c>
      <c r="V631">
        <v>0</v>
      </c>
      <c r="W631">
        <v>0</v>
      </c>
      <c r="X631">
        <v>0</v>
      </c>
      <c r="Y631" t="s">
        <v>6</v>
      </c>
    </row>
    <row r="632" spans="1:25" x14ac:dyDescent="0.35">
      <c r="A632">
        <v>3711</v>
      </c>
      <c r="B632" t="s">
        <v>181</v>
      </c>
      <c r="C632" t="s">
        <v>6</v>
      </c>
      <c r="D632" t="s">
        <v>292</v>
      </c>
      <c r="E632">
        <v>1</v>
      </c>
      <c r="F632">
        <v>0</v>
      </c>
      <c r="G632">
        <v>0</v>
      </c>
      <c r="H632" t="s">
        <v>297</v>
      </c>
      <c r="I632">
        <v>7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7</v>
      </c>
      <c r="S632">
        <v>0</v>
      </c>
      <c r="T632">
        <v>0</v>
      </c>
      <c r="U632">
        <v>3</v>
      </c>
      <c r="V632">
        <v>0</v>
      </c>
      <c r="W632">
        <v>0</v>
      </c>
      <c r="X632">
        <v>0</v>
      </c>
      <c r="Y632" t="s">
        <v>6</v>
      </c>
    </row>
    <row r="633" spans="1:25" x14ac:dyDescent="0.35">
      <c r="A633">
        <v>3824</v>
      </c>
      <c r="B633" t="s">
        <v>181</v>
      </c>
      <c r="C633" t="s">
        <v>13</v>
      </c>
      <c r="D633" t="s">
        <v>292</v>
      </c>
      <c r="E633">
        <v>0</v>
      </c>
      <c r="F633">
        <v>0</v>
      </c>
      <c r="G633">
        <v>0</v>
      </c>
      <c r="H633" t="s">
        <v>297</v>
      </c>
      <c r="I633">
        <v>10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10</v>
      </c>
      <c r="Y633" t="s">
        <v>6</v>
      </c>
    </row>
    <row r="634" spans="1:25" x14ac:dyDescent="0.35">
      <c r="A634">
        <v>3153</v>
      </c>
      <c r="B634" t="s">
        <v>156</v>
      </c>
      <c r="C634" t="s">
        <v>3</v>
      </c>
      <c r="D634" t="s">
        <v>230</v>
      </c>
      <c r="E634">
        <v>1</v>
      </c>
      <c r="F634">
        <v>0</v>
      </c>
      <c r="G634">
        <v>0</v>
      </c>
      <c r="H634" t="s">
        <v>297</v>
      </c>
      <c r="I634">
        <v>8</v>
      </c>
      <c r="J634">
        <v>0</v>
      </c>
      <c r="K634">
        <v>1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8</v>
      </c>
      <c r="T634">
        <v>0</v>
      </c>
      <c r="U634">
        <v>0</v>
      </c>
      <c r="V634">
        <v>1</v>
      </c>
      <c r="W634">
        <v>0</v>
      </c>
      <c r="X634">
        <v>0</v>
      </c>
      <c r="Y634" t="s">
        <v>2</v>
      </c>
    </row>
    <row r="635" spans="1:25" x14ac:dyDescent="0.35">
      <c r="A635">
        <v>3204</v>
      </c>
      <c r="B635" t="s">
        <v>156</v>
      </c>
      <c r="C635" t="s">
        <v>3</v>
      </c>
      <c r="D635" t="s">
        <v>230</v>
      </c>
      <c r="E635">
        <v>1</v>
      </c>
      <c r="F635">
        <v>1</v>
      </c>
      <c r="G635">
        <v>0</v>
      </c>
      <c r="H635" t="s">
        <v>297</v>
      </c>
      <c r="I635">
        <v>8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8</v>
      </c>
      <c r="T635">
        <v>0</v>
      </c>
      <c r="U635">
        <v>0</v>
      </c>
      <c r="V635">
        <v>0</v>
      </c>
      <c r="W635">
        <v>0</v>
      </c>
      <c r="X635">
        <v>0</v>
      </c>
      <c r="Y635" t="s">
        <v>2</v>
      </c>
    </row>
    <row r="636" spans="1:25" x14ac:dyDescent="0.35">
      <c r="A636">
        <v>3275</v>
      </c>
      <c r="B636" t="s">
        <v>156</v>
      </c>
      <c r="C636" t="s">
        <v>2</v>
      </c>
      <c r="D636" t="s">
        <v>230</v>
      </c>
      <c r="E636">
        <v>0</v>
      </c>
      <c r="F636">
        <v>0</v>
      </c>
      <c r="G636">
        <v>1</v>
      </c>
      <c r="H636" t="s">
        <v>297</v>
      </c>
      <c r="I636">
        <v>6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3</v>
      </c>
      <c r="P636">
        <v>0</v>
      </c>
      <c r="Q636">
        <v>6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>
        <v>0</v>
      </c>
      <c r="Y636" t="s">
        <v>2</v>
      </c>
    </row>
    <row r="637" spans="1:25" x14ac:dyDescent="0.35">
      <c r="A637">
        <v>3283</v>
      </c>
      <c r="B637" t="s">
        <v>156</v>
      </c>
      <c r="C637" t="s">
        <v>2</v>
      </c>
      <c r="D637" t="s">
        <v>230</v>
      </c>
      <c r="E637">
        <v>0</v>
      </c>
      <c r="F637">
        <v>0</v>
      </c>
      <c r="G637">
        <v>0</v>
      </c>
      <c r="H637" t="s">
        <v>297</v>
      </c>
      <c r="I637">
        <v>6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6</v>
      </c>
      <c r="R637">
        <v>0</v>
      </c>
      <c r="S637">
        <v>1</v>
      </c>
      <c r="T637">
        <v>3</v>
      </c>
      <c r="U637">
        <v>0</v>
      </c>
      <c r="V637">
        <v>0</v>
      </c>
      <c r="W637">
        <v>0</v>
      </c>
      <c r="X637">
        <v>0</v>
      </c>
      <c r="Y637" t="s">
        <v>2</v>
      </c>
    </row>
    <row r="638" spans="1:25" x14ac:dyDescent="0.35">
      <c r="A638">
        <v>3285</v>
      </c>
      <c r="B638" t="s">
        <v>156</v>
      </c>
      <c r="C638" t="s">
        <v>2</v>
      </c>
      <c r="D638" t="s">
        <v>230</v>
      </c>
      <c r="E638">
        <v>0</v>
      </c>
      <c r="F638">
        <v>0</v>
      </c>
      <c r="G638">
        <v>0</v>
      </c>
      <c r="H638" t="s">
        <v>297</v>
      </c>
      <c r="I638">
        <v>6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6</v>
      </c>
      <c r="R638">
        <v>0</v>
      </c>
      <c r="S638">
        <v>1</v>
      </c>
      <c r="T638">
        <v>3</v>
      </c>
      <c r="U638">
        <v>0</v>
      </c>
      <c r="V638">
        <v>0</v>
      </c>
      <c r="W638">
        <v>0</v>
      </c>
      <c r="X638">
        <v>0</v>
      </c>
      <c r="Y638" t="s">
        <v>2</v>
      </c>
    </row>
    <row r="639" spans="1:25" x14ac:dyDescent="0.35">
      <c r="A639">
        <v>3287</v>
      </c>
      <c r="B639" t="s">
        <v>156</v>
      </c>
      <c r="C639" t="s">
        <v>2</v>
      </c>
      <c r="D639" t="s">
        <v>230</v>
      </c>
      <c r="E639">
        <v>0</v>
      </c>
      <c r="F639">
        <v>0</v>
      </c>
      <c r="G639">
        <v>0</v>
      </c>
      <c r="H639" t="s">
        <v>297</v>
      </c>
      <c r="I639">
        <v>7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7</v>
      </c>
      <c r="R639">
        <v>0</v>
      </c>
      <c r="S639">
        <v>2</v>
      </c>
      <c r="T639">
        <v>1</v>
      </c>
      <c r="U639">
        <v>0</v>
      </c>
      <c r="V639">
        <v>0</v>
      </c>
      <c r="W639">
        <v>0</v>
      </c>
      <c r="X639">
        <v>0</v>
      </c>
      <c r="Y639" t="s">
        <v>2</v>
      </c>
    </row>
    <row r="640" spans="1:25" x14ac:dyDescent="0.35">
      <c r="A640">
        <v>3653</v>
      </c>
      <c r="B640" t="s">
        <v>156</v>
      </c>
      <c r="C640" t="s">
        <v>3</v>
      </c>
      <c r="D640" t="s">
        <v>230</v>
      </c>
      <c r="E640">
        <v>0</v>
      </c>
      <c r="F640">
        <v>0</v>
      </c>
      <c r="G640">
        <v>1</v>
      </c>
      <c r="H640" t="s">
        <v>297</v>
      </c>
      <c r="I640">
        <v>8</v>
      </c>
      <c r="J640">
        <v>0</v>
      </c>
      <c r="K640">
        <v>0</v>
      </c>
      <c r="L640">
        <v>0</v>
      </c>
      <c r="M640">
        <v>0</v>
      </c>
      <c r="N640">
        <v>1</v>
      </c>
      <c r="O640">
        <v>1</v>
      </c>
      <c r="P640">
        <v>0</v>
      </c>
      <c r="Q640">
        <v>0</v>
      </c>
      <c r="R640">
        <v>0</v>
      </c>
      <c r="S640">
        <v>8</v>
      </c>
      <c r="T640">
        <v>0</v>
      </c>
      <c r="U640">
        <v>0</v>
      </c>
      <c r="V640">
        <v>0</v>
      </c>
      <c r="W640">
        <v>0</v>
      </c>
      <c r="X640">
        <v>0</v>
      </c>
      <c r="Y640" t="s">
        <v>2</v>
      </c>
    </row>
    <row r="641" spans="1:25" x14ac:dyDescent="0.35">
      <c r="A641">
        <v>3664</v>
      </c>
      <c r="B641" t="s">
        <v>156</v>
      </c>
      <c r="C641" t="s">
        <v>3</v>
      </c>
      <c r="D641" t="s">
        <v>230</v>
      </c>
      <c r="E641">
        <v>1</v>
      </c>
      <c r="F641">
        <v>0</v>
      </c>
      <c r="G641">
        <v>0</v>
      </c>
      <c r="H641" t="s">
        <v>297</v>
      </c>
      <c r="I641">
        <v>7</v>
      </c>
      <c r="J641">
        <v>0</v>
      </c>
      <c r="K641">
        <v>0</v>
      </c>
      <c r="L641">
        <v>0</v>
      </c>
      <c r="M641">
        <v>0</v>
      </c>
      <c r="N641">
        <v>2</v>
      </c>
      <c r="O641">
        <v>0</v>
      </c>
      <c r="P641">
        <v>0</v>
      </c>
      <c r="Q641">
        <v>0</v>
      </c>
      <c r="R641">
        <v>0</v>
      </c>
      <c r="S641">
        <v>7</v>
      </c>
      <c r="T641">
        <v>0</v>
      </c>
      <c r="U641">
        <v>0</v>
      </c>
      <c r="V641">
        <v>0</v>
      </c>
      <c r="W641">
        <v>0</v>
      </c>
      <c r="X641">
        <v>1</v>
      </c>
      <c r="Y641" t="s">
        <v>2</v>
      </c>
    </row>
    <row r="642" spans="1:25" x14ac:dyDescent="0.35">
      <c r="A642">
        <v>3665</v>
      </c>
      <c r="B642" t="s">
        <v>156</v>
      </c>
      <c r="C642" t="s">
        <v>2</v>
      </c>
      <c r="D642" t="s">
        <v>230</v>
      </c>
      <c r="E642">
        <v>0</v>
      </c>
      <c r="F642">
        <v>0</v>
      </c>
      <c r="G642">
        <v>0</v>
      </c>
      <c r="H642" t="s">
        <v>297</v>
      </c>
      <c r="I642">
        <v>5</v>
      </c>
      <c r="J642">
        <v>0</v>
      </c>
      <c r="K642">
        <v>3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5</v>
      </c>
      <c r="R642">
        <v>0</v>
      </c>
      <c r="S642">
        <v>0</v>
      </c>
      <c r="T642">
        <v>0</v>
      </c>
      <c r="U642">
        <v>0</v>
      </c>
      <c r="V642">
        <v>2</v>
      </c>
      <c r="W642">
        <v>0</v>
      </c>
      <c r="X642">
        <v>0</v>
      </c>
      <c r="Y642" t="s">
        <v>2</v>
      </c>
    </row>
    <row r="643" spans="1:25" x14ac:dyDescent="0.35">
      <c r="A643">
        <v>3666</v>
      </c>
      <c r="B643" t="s">
        <v>156</v>
      </c>
      <c r="C643" t="s">
        <v>3</v>
      </c>
      <c r="D643" t="s">
        <v>230</v>
      </c>
      <c r="E643">
        <v>0</v>
      </c>
      <c r="F643">
        <v>0</v>
      </c>
      <c r="G643">
        <v>0</v>
      </c>
      <c r="H643" t="s">
        <v>297</v>
      </c>
      <c r="I643">
        <v>6</v>
      </c>
      <c r="J643">
        <v>0</v>
      </c>
      <c r="K643">
        <v>0</v>
      </c>
      <c r="L643">
        <v>2</v>
      </c>
      <c r="M643">
        <v>0</v>
      </c>
      <c r="N643">
        <v>2</v>
      </c>
      <c r="O643">
        <v>0</v>
      </c>
      <c r="P643">
        <v>0</v>
      </c>
      <c r="Q643">
        <v>0</v>
      </c>
      <c r="R643">
        <v>0</v>
      </c>
      <c r="S643">
        <v>6</v>
      </c>
      <c r="T643">
        <v>0</v>
      </c>
      <c r="U643">
        <v>0</v>
      </c>
      <c r="V643">
        <v>0</v>
      </c>
      <c r="W643">
        <v>0</v>
      </c>
      <c r="X643">
        <v>0</v>
      </c>
      <c r="Y643" t="s">
        <v>2</v>
      </c>
    </row>
    <row r="644" spans="1:25" x14ac:dyDescent="0.35">
      <c r="A644">
        <v>3670</v>
      </c>
      <c r="B644" t="s">
        <v>156</v>
      </c>
      <c r="C644" t="s">
        <v>2</v>
      </c>
      <c r="D644" t="s">
        <v>230</v>
      </c>
      <c r="E644">
        <v>0</v>
      </c>
      <c r="F644">
        <v>0</v>
      </c>
      <c r="G644">
        <v>0</v>
      </c>
      <c r="H644" t="s">
        <v>297</v>
      </c>
      <c r="I644">
        <v>7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7</v>
      </c>
      <c r="R644">
        <v>0</v>
      </c>
      <c r="S644">
        <v>2</v>
      </c>
      <c r="T644">
        <v>0</v>
      </c>
      <c r="U644">
        <v>1</v>
      </c>
      <c r="V644">
        <v>0</v>
      </c>
      <c r="W644">
        <v>0</v>
      </c>
      <c r="X644">
        <v>0</v>
      </c>
      <c r="Y644" t="s">
        <v>2</v>
      </c>
    </row>
    <row r="645" spans="1:25" x14ac:dyDescent="0.35">
      <c r="A645">
        <v>3672</v>
      </c>
      <c r="B645" t="s">
        <v>156</v>
      </c>
      <c r="C645" t="s">
        <v>2</v>
      </c>
      <c r="D645" t="s">
        <v>230</v>
      </c>
      <c r="E645">
        <v>0</v>
      </c>
      <c r="F645">
        <v>0</v>
      </c>
      <c r="G645">
        <v>0</v>
      </c>
      <c r="H645" t="s">
        <v>297</v>
      </c>
      <c r="I645">
        <v>5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5</v>
      </c>
      <c r="R645">
        <v>0</v>
      </c>
      <c r="S645">
        <v>1</v>
      </c>
      <c r="T645">
        <v>4</v>
      </c>
      <c r="U645">
        <v>0</v>
      </c>
      <c r="V645">
        <v>0</v>
      </c>
      <c r="W645">
        <v>0</v>
      </c>
      <c r="X645">
        <v>0</v>
      </c>
      <c r="Y645" t="s">
        <v>2</v>
      </c>
    </row>
    <row r="646" spans="1:25" x14ac:dyDescent="0.35">
      <c r="A646">
        <v>3675</v>
      </c>
      <c r="B646" t="s">
        <v>156</v>
      </c>
      <c r="C646" t="s">
        <v>2</v>
      </c>
      <c r="D646" t="s">
        <v>230</v>
      </c>
      <c r="E646">
        <v>0</v>
      </c>
      <c r="F646">
        <v>1</v>
      </c>
      <c r="G646">
        <v>0</v>
      </c>
      <c r="H646" t="s">
        <v>297</v>
      </c>
      <c r="I646">
        <v>7</v>
      </c>
      <c r="J646">
        <v>0</v>
      </c>
      <c r="K646">
        <v>0</v>
      </c>
      <c r="L646">
        <v>0</v>
      </c>
      <c r="M646">
        <v>0</v>
      </c>
      <c r="N646">
        <v>2</v>
      </c>
      <c r="O646">
        <v>1</v>
      </c>
      <c r="P646">
        <v>0</v>
      </c>
      <c r="Q646">
        <v>7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 t="s">
        <v>2</v>
      </c>
    </row>
    <row r="647" spans="1:25" x14ac:dyDescent="0.35">
      <c r="A647">
        <v>3676</v>
      </c>
      <c r="B647" t="s">
        <v>156</v>
      </c>
      <c r="C647" t="s">
        <v>3</v>
      </c>
      <c r="D647" t="s">
        <v>230</v>
      </c>
      <c r="E647">
        <v>0</v>
      </c>
      <c r="F647">
        <v>0</v>
      </c>
      <c r="G647">
        <v>0</v>
      </c>
      <c r="H647" t="s">
        <v>297</v>
      </c>
      <c r="I647">
        <v>8</v>
      </c>
      <c r="J647">
        <v>0</v>
      </c>
      <c r="K647">
        <v>0</v>
      </c>
      <c r="L647">
        <v>0</v>
      </c>
      <c r="M647">
        <v>0</v>
      </c>
      <c r="N647">
        <v>1</v>
      </c>
      <c r="O647">
        <v>1</v>
      </c>
      <c r="P647">
        <v>0</v>
      </c>
      <c r="Q647">
        <v>0</v>
      </c>
      <c r="R647">
        <v>0</v>
      </c>
      <c r="S647">
        <v>8</v>
      </c>
      <c r="T647">
        <v>0</v>
      </c>
      <c r="U647">
        <v>0</v>
      </c>
      <c r="V647">
        <v>0</v>
      </c>
      <c r="W647">
        <v>0</v>
      </c>
      <c r="X647">
        <v>0</v>
      </c>
      <c r="Y647" t="s">
        <v>2</v>
      </c>
    </row>
    <row r="648" spans="1:25" x14ac:dyDescent="0.35">
      <c r="A648">
        <v>3678</v>
      </c>
      <c r="B648" t="s">
        <v>156</v>
      </c>
      <c r="C648" t="s">
        <v>2</v>
      </c>
      <c r="D648" t="s">
        <v>230</v>
      </c>
      <c r="E648">
        <v>0</v>
      </c>
      <c r="F648">
        <v>0</v>
      </c>
      <c r="G648">
        <v>0</v>
      </c>
      <c r="H648" t="s">
        <v>297</v>
      </c>
      <c r="I648">
        <v>6</v>
      </c>
      <c r="J648">
        <v>0</v>
      </c>
      <c r="K648">
        <v>0</v>
      </c>
      <c r="L648">
        <v>0</v>
      </c>
      <c r="M648">
        <v>0</v>
      </c>
      <c r="N648">
        <v>1</v>
      </c>
      <c r="O648">
        <v>3</v>
      </c>
      <c r="P648">
        <v>0</v>
      </c>
      <c r="Q648">
        <v>6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 t="s">
        <v>2</v>
      </c>
    </row>
    <row r="649" spans="1:25" x14ac:dyDescent="0.35">
      <c r="A649">
        <v>3679</v>
      </c>
      <c r="B649" t="s">
        <v>156</v>
      </c>
      <c r="C649" t="s">
        <v>3</v>
      </c>
      <c r="D649" t="s">
        <v>230</v>
      </c>
      <c r="E649">
        <v>0</v>
      </c>
      <c r="F649">
        <v>0</v>
      </c>
      <c r="G649">
        <v>0</v>
      </c>
      <c r="H649" t="s">
        <v>297</v>
      </c>
      <c r="I649">
        <v>8</v>
      </c>
      <c r="J649">
        <v>0</v>
      </c>
      <c r="K649">
        <v>0</v>
      </c>
      <c r="L649">
        <v>0</v>
      </c>
      <c r="M649">
        <v>0</v>
      </c>
      <c r="N649">
        <v>1</v>
      </c>
      <c r="O649">
        <v>0</v>
      </c>
      <c r="P649">
        <v>0</v>
      </c>
      <c r="Q649">
        <v>0</v>
      </c>
      <c r="R649">
        <v>0</v>
      </c>
      <c r="S649">
        <v>8</v>
      </c>
      <c r="T649">
        <v>1</v>
      </c>
      <c r="U649">
        <v>0</v>
      </c>
      <c r="V649">
        <v>0</v>
      </c>
      <c r="W649">
        <v>0</v>
      </c>
      <c r="X649">
        <v>0</v>
      </c>
      <c r="Y649" t="s">
        <v>2</v>
      </c>
    </row>
    <row r="650" spans="1:25" x14ac:dyDescent="0.35">
      <c r="A650">
        <v>3680</v>
      </c>
      <c r="B650" t="s">
        <v>156</v>
      </c>
      <c r="C650" t="s">
        <v>3</v>
      </c>
      <c r="D650" t="s">
        <v>230</v>
      </c>
      <c r="E650">
        <v>1</v>
      </c>
      <c r="F650">
        <v>0</v>
      </c>
      <c r="G650">
        <v>0</v>
      </c>
      <c r="H650" t="s">
        <v>297</v>
      </c>
      <c r="I650">
        <v>6</v>
      </c>
      <c r="J650">
        <v>2</v>
      </c>
      <c r="K650">
        <v>0</v>
      </c>
      <c r="L650">
        <v>0</v>
      </c>
      <c r="M650">
        <v>0</v>
      </c>
      <c r="N650">
        <v>2</v>
      </c>
      <c r="O650">
        <v>0</v>
      </c>
      <c r="P650">
        <v>0</v>
      </c>
      <c r="Q650">
        <v>0</v>
      </c>
      <c r="R650">
        <v>0</v>
      </c>
      <c r="S650">
        <v>6</v>
      </c>
      <c r="T650">
        <v>0</v>
      </c>
      <c r="U650">
        <v>0</v>
      </c>
      <c r="V650">
        <v>0</v>
      </c>
      <c r="W650">
        <v>0</v>
      </c>
      <c r="X650">
        <v>0</v>
      </c>
      <c r="Y650" t="s">
        <v>2</v>
      </c>
    </row>
    <row r="651" spans="1:25" x14ac:dyDescent="0.35">
      <c r="A651">
        <v>3682</v>
      </c>
      <c r="B651" t="s">
        <v>156</v>
      </c>
      <c r="C651" t="s">
        <v>3</v>
      </c>
      <c r="D651" t="s">
        <v>230</v>
      </c>
      <c r="E651">
        <v>1</v>
      </c>
      <c r="F651">
        <v>0</v>
      </c>
      <c r="G651">
        <v>0</v>
      </c>
      <c r="H651" t="s">
        <v>297</v>
      </c>
      <c r="I651">
        <v>8</v>
      </c>
      <c r="J651">
        <v>0</v>
      </c>
      <c r="K651">
        <v>0</v>
      </c>
      <c r="L651">
        <v>0</v>
      </c>
      <c r="M651">
        <v>0</v>
      </c>
      <c r="N651">
        <v>1</v>
      </c>
      <c r="O651">
        <v>0</v>
      </c>
      <c r="P651">
        <v>0</v>
      </c>
      <c r="Q651">
        <v>1</v>
      </c>
      <c r="R651">
        <v>0</v>
      </c>
      <c r="S651">
        <v>8</v>
      </c>
      <c r="T651">
        <v>0</v>
      </c>
      <c r="U651">
        <v>0</v>
      </c>
      <c r="V651">
        <v>0</v>
      </c>
      <c r="W651">
        <v>0</v>
      </c>
      <c r="X651">
        <v>0</v>
      </c>
      <c r="Y651" t="s">
        <v>2</v>
      </c>
    </row>
    <row r="652" spans="1:25" x14ac:dyDescent="0.35">
      <c r="A652">
        <v>3683</v>
      </c>
      <c r="B652" t="s">
        <v>156</v>
      </c>
      <c r="C652" t="s">
        <v>2</v>
      </c>
      <c r="D652" t="s">
        <v>230</v>
      </c>
      <c r="E652">
        <v>1</v>
      </c>
      <c r="F652">
        <v>0</v>
      </c>
      <c r="G652">
        <v>0</v>
      </c>
      <c r="H652" t="s">
        <v>297</v>
      </c>
      <c r="I652">
        <v>5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5</v>
      </c>
      <c r="R652">
        <v>0</v>
      </c>
      <c r="S652">
        <v>2</v>
      </c>
      <c r="T652">
        <v>3</v>
      </c>
      <c r="U652">
        <v>0</v>
      </c>
      <c r="V652">
        <v>0</v>
      </c>
      <c r="W652">
        <v>0</v>
      </c>
      <c r="X652">
        <v>0</v>
      </c>
      <c r="Y652" t="s">
        <v>2</v>
      </c>
    </row>
    <row r="653" spans="1:25" x14ac:dyDescent="0.35">
      <c r="A653">
        <v>3685</v>
      </c>
      <c r="B653" t="s">
        <v>156</v>
      </c>
      <c r="C653" t="s">
        <v>2</v>
      </c>
      <c r="D653" t="s">
        <v>230</v>
      </c>
      <c r="E653">
        <v>0</v>
      </c>
      <c r="F653">
        <v>0</v>
      </c>
      <c r="G653">
        <v>0</v>
      </c>
      <c r="H653" t="s">
        <v>297</v>
      </c>
      <c r="I653">
        <v>6</v>
      </c>
      <c r="J653">
        <v>0</v>
      </c>
      <c r="K653">
        <v>0</v>
      </c>
      <c r="L653">
        <v>0</v>
      </c>
      <c r="M653">
        <v>0</v>
      </c>
      <c r="N653">
        <v>2</v>
      </c>
      <c r="O653">
        <v>2</v>
      </c>
      <c r="P653">
        <v>0</v>
      </c>
      <c r="Q653">
        <v>6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 t="s">
        <v>2</v>
      </c>
    </row>
    <row r="654" spans="1:25" x14ac:dyDescent="0.35">
      <c r="A654">
        <v>3830</v>
      </c>
      <c r="B654" t="s">
        <v>156</v>
      </c>
      <c r="C654" t="s">
        <v>3</v>
      </c>
      <c r="D654" t="s">
        <v>230</v>
      </c>
      <c r="E654">
        <v>1</v>
      </c>
      <c r="F654">
        <v>0</v>
      </c>
      <c r="G654">
        <v>0</v>
      </c>
      <c r="H654" t="s">
        <v>297</v>
      </c>
      <c r="I654">
        <v>7</v>
      </c>
      <c r="J654">
        <v>0</v>
      </c>
      <c r="K654">
        <v>1</v>
      </c>
      <c r="L654">
        <v>0</v>
      </c>
      <c r="M654">
        <v>2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7</v>
      </c>
      <c r="T654">
        <v>0</v>
      </c>
      <c r="U654">
        <v>0</v>
      </c>
      <c r="V654">
        <v>0</v>
      </c>
      <c r="W654">
        <v>0</v>
      </c>
      <c r="X654">
        <v>0</v>
      </c>
      <c r="Y654" t="s">
        <v>2</v>
      </c>
    </row>
    <row r="655" spans="1:25" x14ac:dyDescent="0.35">
      <c r="A655">
        <v>3129</v>
      </c>
      <c r="B655" t="s">
        <v>185</v>
      </c>
      <c r="C655" t="s">
        <v>5</v>
      </c>
      <c r="D655" t="s">
        <v>205</v>
      </c>
      <c r="E655">
        <v>0</v>
      </c>
      <c r="F655">
        <v>0</v>
      </c>
      <c r="G655">
        <v>0</v>
      </c>
      <c r="H655" t="s">
        <v>297</v>
      </c>
      <c r="I655">
        <v>6</v>
      </c>
      <c r="J655">
        <v>0</v>
      </c>
      <c r="K655">
        <v>0</v>
      </c>
      <c r="L655">
        <v>0</v>
      </c>
      <c r="M655">
        <v>1</v>
      </c>
      <c r="N655">
        <v>6</v>
      </c>
      <c r="O655">
        <v>3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 t="s">
        <v>7</v>
      </c>
    </row>
    <row r="656" spans="1:25" x14ac:dyDescent="0.35">
      <c r="A656">
        <v>3136</v>
      </c>
      <c r="B656" t="s">
        <v>185</v>
      </c>
      <c r="C656" t="s">
        <v>5</v>
      </c>
      <c r="D656" t="s">
        <v>205</v>
      </c>
      <c r="E656">
        <v>0</v>
      </c>
      <c r="F656">
        <v>0</v>
      </c>
      <c r="G656">
        <v>0</v>
      </c>
      <c r="H656" t="s">
        <v>297</v>
      </c>
      <c r="I656">
        <v>5</v>
      </c>
      <c r="J656">
        <v>0</v>
      </c>
      <c r="K656">
        <v>0</v>
      </c>
      <c r="L656">
        <v>0</v>
      </c>
      <c r="M656">
        <v>0</v>
      </c>
      <c r="N656">
        <v>5</v>
      </c>
      <c r="O656">
        <v>3</v>
      </c>
      <c r="P656">
        <v>0</v>
      </c>
      <c r="Q656">
        <v>2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 t="s">
        <v>7</v>
      </c>
    </row>
    <row r="657" spans="1:25" x14ac:dyDescent="0.35">
      <c r="A657">
        <v>3142</v>
      </c>
      <c r="B657" t="s">
        <v>185</v>
      </c>
      <c r="C657" t="s">
        <v>5</v>
      </c>
      <c r="D657" t="s">
        <v>205</v>
      </c>
      <c r="E657">
        <v>0</v>
      </c>
      <c r="F657">
        <v>0</v>
      </c>
      <c r="G657">
        <v>0</v>
      </c>
      <c r="H657" t="s">
        <v>297</v>
      </c>
      <c r="I657">
        <v>7</v>
      </c>
      <c r="J657">
        <v>0</v>
      </c>
      <c r="K657">
        <v>0</v>
      </c>
      <c r="L657">
        <v>0</v>
      </c>
      <c r="M657">
        <v>0</v>
      </c>
      <c r="N657">
        <v>7</v>
      </c>
      <c r="O657">
        <v>2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1</v>
      </c>
      <c r="Y657" t="s">
        <v>7</v>
      </c>
    </row>
    <row r="658" spans="1:25" x14ac:dyDescent="0.35">
      <c r="A658">
        <v>3144</v>
      </c>
      <c r="B658" t="s">
        <v>185</v>
      </c>
      <c r="C658" t="s">
        <v>5</v>
      </c>
      <c r="D658" t="s">
        <v>205</v>
      </c>
      <c r="E658">
        <v>0</v>
      </c>
      <c r="F658">
        <v>0</v>
      </c>
      <c r="G658">
        <v>0</v>
      </c>
      <c r="H658" t="s">
        <v>297</v>
      </c>
      <c r="I658">
        <v>5</v>
      </c>
      <c r="J658">
        <v>0</v>
      </c>
      <c r="K658">
        <v>0</v>
      </c>
      <c r="L658">
        <v>0</v>
      </c>
      <c r="M658">
        <v>0</v>
      </c>
      <c r="N658">
        <v>5</v>
      </c>
      <c r="O658">
        <v>4</v>
      </c>
      <c r="P658">
        <v>0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 t="s">
        <v>7</v>
      </c>
    </row>
    <row r="659" spans="1:25" x14ac:dyDescent="0.35">
      <c r="A659">
        <v>3146</v>
      </c>
      <c r="B659" t="s">
        <v>185</v>
      </c>
      <c r="C659" t="s">
        <v>5</v>
      </c>
      <c r="D659" t="s">
        <v>205</v>
      </c>
      <c r="E659">
        <v>0</v>
      </c>
      <c r="F659">
        <v>0</v>
      </c>
      <c r="G659">
        <v>0</v>
      </c>
      <c r="H659" t="s">
        <v>297</v>
      </c>
      <c r="I659">
        <v>8</v>
      </c>
      <c r="J659">
        <v>0</v>
      </c>
      <c r="K659">
        <v>0</v>
      </c>
      <c r="L659">
        <v>0</v>
      </c>
      <c r="M659">
        <v>0</v>
      </c>
      <c r="N659">
        <v>8</v>
      </c>
      <c r="O659">
        <v>1</v>
      </c>
      <c r="P659">
        <v>0</v>
      </c>
      <c r="Q659">
        <v>0</v>
      </c>
      <c r="R659">
        <v>1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 t="s">
        <v>7</v>
      </c>
    </row>
    <row r="660" spans="1:25" x14ac:dyDescent="0.35">
      <c r="A660">
        <v>3190</v>
      </c>
      <c r="B660" t="s">
        <v>185</v>
      </c>
      <c r="C660" t="s">
        <v>5</v>
      </c>
      <c r="D660" t="s">
        <v>205</v>
      </c>
      <c r="E660">
        <v>0</v>
      </c>
      <c r="F660">
        <v>0</v>
      </c>
      <c r="G660">
        <v>0</v>
      </c>
      <c r="H660" t="s">
        <v>297</v>
      </c>
      <c r="I660">
        <v>7</v>
      </c>
      <c r="J660">
        <v>0</v>
      </c>
      <c r="K660">
        <v>0</v>
      </c>
      <c r="L660">
        <v>0</v>
      </c>
      <c r="M660">
        <v>2</v>
      </c>
      <c r="N660">
        <v>7</v>
      </c>
      <c r="O660">
        <v>1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 t="s">
        <v>7</v>
      </c>
    </row>
    <row r="661" spans="1:25" x14ac:dyDescent="0.35">
      <c r="A661">
        <v>3223</v>
      </c>
      <c r="B661" t="s">
        <v>185</v>
      </c>
      <c r="C661" t="s">
        <v>5</v>
      </c>
      <c r="D661" t="s">
        <v>205</v>
      </c>
      <c r="E661">
        <v>0</v>
      </c>
      <c r="F661">
        <v>0</v>
      </c>
      <c r="G661">
        <v>0</v>
      </c>
      <c r="H661" t="s">
        <v>297</v>
      </c>
      <c r="I661">
        <v>10</v>
      </c>
      <c r="J661">
        <v>0</v>
      </c>
      <c r="K661">
        <v>0</v>
      </c>
      <c r="L661">
        <v>0</v>
      </c>
      <c r="M661">
        <v>0</v>
      </c>
      <c r="N661">
        <v>10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 t="s">
        <v>7</v>
      </c>
    </row>
    <row r="662" spans="1:25" x14ac:dyDescent="0.35">
      <c r="A662">
        <v>3224</v>
      </c>
      <c r="B662" t="s">
        <v>185</v>
      </c>
      <c r="C662" t="s">
        <v>5</v>
      </c>
      <c r="D662" t="s">
        <v>205</v>
      </c>
      <c r="E662">
        <v>0</v>
      </c>
      <c r="F662">
        <v>0</v>
      </c>
      <c r="G662">
        <v>0</v>
      </c>
      <c r="H662" t="s">
        <v>297</v>
      </c>
      <c r="I662">
        <v>10</v>
      </c>
      <c r="J662">
        <v>0</v>
      </c>
      <c r="K662">
        <v>0</v>
      </c>
      <c r="L662">
        <v>0</v>
      </c>
      <c r="M662">
        <v>0</v>
      </c>
      <c r="N662">
        <v>10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 t="s">
        <v>7</v>
      </c>
    </row>
    <row r="663" spans="1:25" x14ac:dyDescent="0.35">
      <c r="A663">
        <v>3241</v>
      </c>
      <c r="B663" t="s">
        <v>185</v>
      </c>
      <c r="C663" t="s">
        <v>5</v>
      </c>
      <c r="D663" t="s">
        <v>205</v>
      </c>
      <c r="E663">
        <v>0</v>
      </c>
      <c r="F663">
        <v>0</v>
      </c>
      <c r="G663">
        <v>0</v>
      </c>
      <c r="H663" t="s">
        <v>297</v>
      </c>
      <c r="I663">
        <v>8</v>
      </c>
      <c r="J663">
        <v>0</v>
      </c>
      <c r="K663">
        <v>0</v>
      </c>
      <c r="L663">
        <v>0</v>
      </c>
      <c r="M663">
        <v>0</v>
      </c>
      <c r="N663">
        <v>8</v>
      </c>
      <c r="O663">
        <v>1</v>
      </c>
      <c r="P663">
        <v>0</v>
      </c>
      <c r="Q663">
        <v>0</v>
      </c>
      <c r="R663">
        <v>1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 t="s">
        <v>7</v>
      </c>
    </row>
    <row r="664" spans="1:25" x14ac:dyDescent="0.35">
      <c r="A664">
        <v>3423</v>
      </c>
      <c r="B664" t="s">
        <v>185</v>
      </c>
      <c r="C664" t="s">
        <v>5</v>
      </c>
      <c r="D664" t="s">
        <v>205</v>
      </c>
      <c r="E664">
        <v>0</v>
      </c>
      <c r="F664">
        <v>0</v>
      </c>
      <c r="G664">
        <v>0</v>
      </c>
      <c r="H664" t="s">
        <v>297</v>
      </c>
      <c r="I664">
        <v>7</v>
      </c>
      <c r="J664">
        <v>0</v>
      </c>
      <c r="K664">
        <v>0</v>
      </c>
      <c r="L664">
        <v>0</v>
      </c>
      <c r="M664">
        <v>0</v>
      </c>
      <c r="N664">
        <v>7</v>
      </c>
      <c r="O664">
        <v>1</v>
      </c>
      <c r="P664">
        <v>0</v>
      </c>
      <c r="Q664">
        <v>0</v>
      </c>
      <c r="R664">
        <v>2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 t="s">
        <v>7</v>
      </c>
    </row>
    <row r="665" spans="1:25" x14ac:dyDescent="0.35">
      <c r="A665">
        <v>3425</v>
      </c>
      <c r="B665" t="s">
        <v>185</v>
      </c>
      <c r="C665" t="s">
        <v>5</v>
      </c>
      <c r="D665" t="s">
        <v>205</v>
      </c>
      <c r="E665">
        <v>1</v>
      </c>
      <c r="F665">
        <v>0</v>
      </c>
      <c r="G665">
        <v>0</v>
      </c>
      <c r="H665" t="s">
        <v>297</v>
      </c>
      <c r="I665">
        <v>5</v>
      </c>
      <c r="J665">
        <v>0</v>
      </c>
      <c r="K665">
        <v>0</v>
      </c>
      <c r="L665">
        <v>0</v>
      </c>
      <c r="M665">
        <v>0</v>
      </c>
      <c r="N665">
        <v>5</v>
      </c>
      <c r="O665">
        <v>0</v>
      </c>
      <c r="P665">
        <v>0</v>
      </c>
      <c r="Q665">
        <v>0</v>
      </c>
      <c r="R665">
        <v>4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 t="s">
        <v>7</v>
      </c>
    </row>
    <row r="666" spans="1:25" x14ac:dyDescent="0.35">
      <c r="A666">
        <v>3426</v>
      </c>
      <c r="B666" t="s">
        <v>185</v>
      </c>
      <c r="C666" t="s">
        <v>5</v>
      </c>
      <c r="D666" t="s">
        <v>205</v>
      </c>
      <c r="E666">
        <v>1</v>
      </c>
      <c r="F666">
        <v>0</v>
      </c>
      <c r="G666">
        <v>0</v>
      </c>
      <c r="H666" t="s">
        <v>297</v>
      </c>
      <c r="I666">
        <v>6</v>
      </c>
      <c r="J666">
        <v>0</v>
      </c>
      <c r="K666">
        <v>0</v>
      </c>
      <c r="L666">
        <v>0</v>
      </c>
      <c r="M666">
        <v>0</v>
      </c>
      <c r="N666">
        <v>6</v>
      </c>
      <c r="O666">
        <v>2</v>
      </c>
      <c r="P666">
        <v>0</v>
      </c>
      <c r="Q666">
        <v>0</v>
      </c>
      <c r="R666">
        <v>2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 t="s">
        <v>7</v>
      </c>
    </row>
    <row r="667" spans="1:25" x14ac:dyDescent="0.35">
      <c r="A667">
        <v>3427</v>
      </c>
      <c r="B667" t="s">
        <v>185</v>
      </c>
      <c r="C667" t="s">
        <v>5</v>
      </c>
      <c r="D667" t="s">
        <v>205</v>
      </c>
      <c r="E667">
        <v>0</v>
      </c>
      <c r="F667">
        <v>0</v>
      </c>
      <c r="G667">
        <v>0</v>
      </c>
      <c r="H667" t="s">
        <v>297</v>
      </c>
      <c r="I667">
        <v>8</v>
      </c>
      <c r="J667">
        <v>0</v>
      </c>
      <c r="K667">
        <v>0</v>
      </c>
      <c r="L667">
        <v>0</v>
      </c>
      <c r="M667">
        <v>0</v>
      </c>
      <c r="N667">
        <v>8</v>
      </c>
      <c r="O667">
        <v>0</v>
      </c>
      <c r="P667">
        <v>0</v>
      </c>
      <c r="Q667">
        <v>0</v>
      </c>
      <c r="R667">
        <v>1</v>
      </c>
      <c r="S667">
        <v>0</v>
      </c>
      <c r="T667">
        <v>0</v>
      </c>
      <c r="U667">
        <v>1</v>
      </c>
      <c r="V667">
        <v>0</v>
      </c>
      <c r="W667">
        <v>0</v>
      </c>
      <c r="X667">
        <v>0</v>
      </c>
      <c r="Y667" t="s">
        <v>7</v>
      </c>
    </row>
    <row r="668" spans="1:25" x14ac:dyDescent="0.35">
      <c r="A668">
        <v>3428</v>
      </c>
      <c r="B668" t="s">
        <v>185</v>
      </c>
      <c r="C668" t="s">
        <v>5</v>
      </c>
      <c r="D668" t="s">
        <v>205</v>
      </c>
      <c r="E668">
        <v>1</v>
      </c>
      <c r="F668">
        <v>0</v>
      </c>
      <c r="G668">
        <v>0</v>
      </c>
      <c r="H668" t="s">
        <v>297</v>
      </c>
      <c r="I668">
        <v>9</v>
      </c>
      <c r="J668">
        <v>0</v>
      </c>
      <c r="K668">
        <v>0</v>
      </c>
      <c r="L668">
        <v>0</v>
      </c>
      <c r="M668">
        <v>0</v>
      </c>
      <c r="N668">
        <v>9</v>
      </c>
      <c r="O668">
        <v>0</v>
      </c>
      <c r="P668">
        <v>0</v>
      </c>
      <c r="Q668">
        <v>0</v>
      </c>
      <c r="R668">
        <v>1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 t="s">
        <v>7</v>
      </c>
    </row>
    <row r="669" spans="1:25" x14ac:dyDescent="0.35">
      <c r="A669">
        <v>3596</v>
      </c>
      <c r="B669" t="s">
        <v>185</v>
      </c>
      <c r="C669" t="s">
        <v>5</v>
      </c>
      <c r="D669" t="s">
        <v>205</v>
      </c>
      <c r="E669">
        <v>0</v>
      </c>
      <c r="F669">
        <v>0</v>
      </c>
      <c r="G669">
        <v>1</v>
      </c>
      <c r="H669" t="s">
        <v>297</v>
      </c>
      <c r="I669">
        <v>7</v>
      </c>
      <c r="J669">
        <v>0</v>
      </c>
      <c r="K669">
        <v>0</v>
      </c>
      <c r="L669">
        <v>0</v>
      </c>
      <c r="M669">
        <v>1</v>
      </c>
      <c r="N669">
        <v>7</v>
      </c>
      <c r="O669">
        <v>2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 t="s">
        <v>7</v>
      </c>
    </row>
    <row r="670" spans="1:25" x14ac:dyDescent="0.35">
      <c r="A670">
        <v>3597</v>
      </c>
      <c r="B670" t="s">
        <v>185</v>
      </c>
      <c r="C670" t="s">
        <v>5</v>
      </c>
      <c r="D670" t="s">
        <v>205</v>
      </c>
      <c r="E670">
        <v>1</v>
      </c>
      <c r="F670">
        <v>0</v>
      </c>
      <c r="G670">
        <v>0</v>
      </c>
      <c r="H670" t="s">
        <v>297</v>
      </c>
      <c r="I670">
        <v>9</v>
      </c>
      <c r="J670">
        <v>0</v>
      </c>
      <c r="K670">
        <v>0</v>
      </c>
      <c r="L670">
        <v>0</v>
      </c>
      <c r="M670">
        <v>0</v>
      </c>
      <c r="N670">
        <v>9</v>
      </c>
      <c r="O670">
        <v>1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 t="s">
        <v>7</v>
      </c>
    </row>
    <row r="671" spans="1:25" x14ac:dyDescent="0.35">
      <c r="A671">
        <v>3614</v>
      </c>
      <c r="B671" t="s">
        <v>185</v>
      </c>
      <c r="C671" t="s">
        <v>5</v>
      </c>
      <c r="D671" t="s">
        <v>205</v>
      </c>
      <c r="E671">
        <v>0</v>
      </c>
      <c r="F671">
        <v>0</v>
      </c>
      <c r="G671">
        <v>0</v>
      </c>
      <c r="H671" t="s">
        <v>297</v>
      </c>
      <c r="I671">
        <v>6</v>
      </c>
      <c r="J671">
        <v>0</v>
      </c>
      <c r="K671">
        <v>0</v>
      </c>
      <c r="L671">
        <v>0</v>
      </c>
      <c r="M671">
        <v>0</v>
      </c>
      <c r="N671">
        <v>6</v>
      </c>
      <c r="O671">
        <v>2</v>
      </c>
      <c r="P671">
        <v>0</v>
      </c>
      <c r="Q671">
        <v>0</v>
      </c>
      <c r="R671">
        <v>0</v>
      </c>
      <c r="S671">
        <v>2</v>
      </c>
      <c r="T671">
        <v>0</v>
      </c>
      <c r="U671">
        <v>0</v>
      </c>
      <c r="V671">
        <v>0</v>
      </c>
      <c r="W671">
        <v>0</v>
      </c>
      <c r="X671">
        <v>0</v>
      </c>
      <c r="Y671" t="s">
        <v>7</v>
      </c>
    </row>
    <row r="672" spans="1:25" x14ac:dyDescent="0.35">
      <c r="A672">
        <v>3704</v>
      </c>
      <c r="B672" t="s">
        <v>185</v>
      </c>
      <c r="C672" t="s">
        <v>5</v>
      </c>
      <c r="D672" t="s">
        <v>205</v>
      </c>
      <c r="E672">
        <v>1</v>
      </c>
      <c r="F672">
        <v>0</v>
      </c>
      <c r="G672">
        <v>0</v>
      </c>
      <c r="H672" t="s">
        <v>297</v>
      </c>
      <c r="I672">
        <v>6</v>
      </c>
      <c r="J672">
        <v>0</v>
      </c>
      <c r="K672">
        <v>0</v>
      </c>
      <c r="L672">
        <v>0</v>
      </c>
      <c r="M672">
        <v>0</v>
      </c>
      <c r="N672">
        <v>6</v>
      </c>
      <c r="O672">
        <v>0</v>
      </c>
      <c r="P672">
        <v>0</v>
      </c>
      <c r="Q672">
        <v>0</v>
      </c>
      <c r="R672">
        <v>1</v>
      </c>
      <c r="S672">
        <v>0</v>
      </c>
      <c r="T672">
        <v>0</v>
      </c>
      <c r="U672">
        <v>3</v>
      </c>
      <c r="V672">
        <v>0</v>
      </c>
      <c r="W672">
        <v>0</v>
      </c>
      <c r="X672">
        <v>0</v>
      </c>
      <c r="Y672" t="s">
        <v>7</v>
      </c>
    </row>
    <row r="673" spans="1:25" x14ac:dyDescent="0.35">
      <c r="A673">
        <v>3811</v>
      </c>
      <c r="B673" t="s">
        <v>185</v>
      </c>
      <c r="C673" t="s">
        <v>5</v>
      </c>
      <c r="D673" t="s">
        <v>205</v>
      </c>
      <c r="E673">
        <v>1</v>
      </c>
      <c r="F673">
        <v>0</v>
      </c>
      <c r="G673">
        <v>0</v>
      </c>
      <c r="H673" t="s">
        <v>297</v>
      </c>
      <c r="I673">
        <v>8</v>
      </c>
      <c r="J673">
        <v>0</v>
      </c>
      <c r="K673">
        <v>1</v>
      </c>
      <c r="L673">
        <v>0</v>
      </c>
      <c r="M673">
        <v>0</v>
      </c>
      <c r="N673">
        <v>8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 t="s">
        <v>7</v>
      </c>
    </row>
    <row r="674" spans="1:25" x14ac:dyDescent="0.35">
      <c r="A674">
        <v>3841</v>
      </c>
      <c r="B674" t="s">
        <v>185</v>
      </c>
      <c r="C674" t="s">
        <v>5</v>
      </c>
      <c r="D674" t="s">
        <v>205</v>
      </c>
      <c r="E674">
        <v>0</v>
      </c>
      <c r="F674">
        <v>0</v>
      </c>
      <c r="G674">
        <v>1</v>
      </c>
      <c r="H674" t="s">
        <v>297</v>
      </c>
      <c r="I674">
        <v>6</v>
      </c>
      <c r="J674">
        <v>0</v>
      </c>
      <c r="K674">
        <v>0</v>
      </c>
      <c r="L674">
        <v>0</v>
      </c>
      <c r="M674">
        <v>0</v>
      </c>
      <c r="N674">
        <v>6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4</v>
      </c>
      <c r="Y674" t="s">
        <v>7</v>
      </c>
    </row>
    <row r="675" spans="1:25" x14ac:dyDescent="0.35">
      <c r="A675">
        <v>3850</v>
      </c>
      <c r="B675" t="s">
        <v>185</v>
      </c>
      <c r="C675" t="s">
        <v>5</v>
      </c>
      <c r="D675" t="s">
        <v>205</v>
      </c>
      <c r="E675">
        <v>1</v>
      </c>
      <c r="F675">
        <v>0</v>
      </c>
      <c r="G675">
        <v>0</v>
      </c>
      <c r="H675" t="s">
        <v>297</v>
      </c>
      <c r="I675">
        <v>5</v>
      </c>
      <c r="J675">
        <v>0</v>
      </c>
      <c r="K675">
        <v>0</v>
      </c>
      <c r="L675">
        <v>0</v>
      </c>
      <c r="M675">
        <v>0</v>
      </c>
      <c r="N675">
        <v>5</v>
      </c>
      <c r="O675">
        <v>2</v>
      </c>
      <c r="P675">
        <v>0</v>
      </c>
      <c r="Q675">
        <v>0</v>
      </c>
      <c r="R675">
        <v>0</v>
      </c>
      <c r="S675">
        <v>3</v>
      </c>
      <c r="T675">
        <v>0</v>
      </c>
      <c r="U675">
        <v>0</v>
      </c>
      <c r="V675">
        <v>0</v>
      </c>
      <c r="W675">
        <v>0</v>
      </c>
      <c r="X675">
        <v>0</v>
      </c>
      <c r="Y675" t="s">
        <v>7</v>
      </c>
    </row>
    <row r="676" spans="1:25" x14ac:dyDescent="0.35">
      <c r="A676">
        <v>3344</v>
      </c>
      <c r="B676" t="s">
        <v>134</v>
      </c>
      <c r="C676" t="s">
        <v>8</v>
      </c>
      <c r="D676" t="s">
        <v>232</v>
      </c>
      <c r="E676">
        <v>1</v>
      </c>
      <c r="F676">
        <v>0</v>
      </c>
      <c r="G676">
        <v>0</v>
      </c>
      <c r="H676" t="s">
        <v>297</v>
      </c>
      <c r="I676">
        <v>8</v>
      </c>
      <c r="J676">
        <v>0</v>
      </c>
      <c r="K676">
        <v>0</v>
      </c>
      <c r="L676">
        <v>0</v>
      </c>
      <c r="M676">
        <v>8</v>
      </c>
      <c r="N676">
        <v>1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1</v>
      </c>
      <c r="W676">
        <v>0</v>
      </c>
      <c r="X676">
        <v>0</v>
      </c>
      <c r="Y676" t="s">
        <v>119</v>
      </c>
    </row>
    <row r="677" spans="1:25" x14ac:dyDescent="0.35">
      <c r="A677">
        <v>3370</v>
      </c>
      <c r="B677" t="s">
        <v>134</v>
      </c>
      <c r="C677" t="s">
        <v>14</v>
      </c>
      <c r="D677" t="s">
        <v>232</v>
      </c>
      <c r="E677">
        <v>0</v>
      </c>
      <c r="F677">
        <v>1</v>
      </c>
      <c r="G677">
        <v>0</v>
      </c>
      <c r="H677" t="s">
        <v>297</v>
      </c>
      <c r="I677">
        <v>7</v>
      </c>
      <c r="J677">
        <v>0</v>
      </c>
      <c r="K677">
        <v>2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7</v>
      </c>
      <c r="W677">
        <v>0</v>
      </c>
      <c r="X677">
        <v>0</v>
      </c>
      <c r="Y677" t="s">
        <v>119</v>
      </c>
    </row>
    <row r="678" spans="1:25" x14ac:dyDescent="0.35">
      <c r="A678">
        <v>3371</v>
      </c>
      <c r="B678" t="s">
        <v>134</v>
      </c>
      <c r="C678" t="s">
        <v>14</v>
      </c>
      <c r="D678" t="s">
        <v>232</v>
      </c>
      <c r="E678">
        <v>0</v>
      </c>
      <c r="F678">
        <v>0</v>
      </c>
      <c r="G678">
        <v>0</v>
      </c>
      <c r="H678" t="s">
        <v>297</v>
      </c>
      <c r="I678">
        <v>6</v>
      </c>
      <c r="J678">
        <v>2</v>
      </c>
      <c r="K678">
        <v>2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6</v>
      </c>
      <c r="W678">
        <v>0</v>
      </c>
      <c r="X678">
        <v>0</v>
      </c>
      <c r="Y678" t="s">
        <v>119</v>
      </c>
    </row>
    <row r="679" spans="1:25" x14ac:dyDescent="0.35">
      <c r="A679">
        <v>3374</v>
      </c>
      <c r="B679" t="s">
        <v>134</v>
      </c>
      <c r="C679" t="s">
        <v>14</v>
      </c>
      <c r="D679" t="s">
        <v>232</v>
      </c>
      <c r="E679">
        <v>0</v>
      </c>
      <c r="F679">
        <v>0</v>
      </c>
      <c r="G679">
        <v>1</v>
      </c>
      <c r="H679" t="s">
        <v>297</v>
      </c>
      <c r="I679">
        <v>8</v>
      </c>
      <c r="J679">
        <v>0</v>
      </c>
      <c r="K679">
        <v>1</v>
      </c>
      <c r="L679">
        <v>0</v>
      </c>
      <c r="M679">
        <v>0</v>
      </c>
      <c r="N679">
        <v>1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8</v>
      </c>
      <c r="W679">
        <v>0</v>
      </c>
      <c r="X679">
        <v>0</v>
      </c>
      <c r="Y679" t="s">
        <v>119</v>
      </c>
    </row>
    <row r="680" spans="1:25" x14ac:dyDescent="0.35">
      <c r="A680">
        <v>3378</v>
      </c>
      <c r="B680" t="s">
        <v>134</v>
      </c>
      <c r="C680" t="s">
        <v>14</v>
      </c>
      <c r="D680" t="s">
        <v>232</v>
      </c>
      <c r="E680">
        <v>1</v>
      </c>
      <c r="F680">
        <v>0</v>
      </c>
      <c r="G680">
        <v>0</v>
      </c>
      <c r="H680" t="s">
        <v>297</v>
      </c>
      <c r="I680">
        <v>7</v>
      </c>
      <c r="J680">
        <v>1</v>
      </c>
      <c r="K680">
        <v>2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7</v>
      </c>
      <c r="W680">
        <v>0</v>
      </c>
      <c r="X680">
        <v>0</v>
      </c>
      <c r="Y680" t="s">
        <v>119</v>
      </c>
    </row>
    <row r="681" spans="1:25" x14ac:dyDescent="0.35">
      <c r="A681">
        <v>3380</v>
      </c>
      <c r="B681" t="s">
        <v>134</v>
      </c>
      <c r="C681" t="s">
        <v>14</v>
      </c>
      <c r="D681" t="s">
        <v>232</v>
      </c>
      <c r="E681">
        <v>1</v>
      </c>
      <c r="F681">
        <v>0</v>
      </c>
      <c r="G681">
        <v>0</v>
      </c>
      <c r="H681" t="s">
        <v>297</v>
      </c>
      <c r="I681">
        <v>8</v>
      </c>
      <c r="J681">
        <v>0</v>
      </c>
      <c r="K681">
        <v>1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8</v>
      </c>
      <c r="W681">
        <v>0</v>
      </c>
      <c r="X681">
        <v>1</v>
      </c>
      <c r="Y681" t="s">
        <v>119</v>
      </c>
    </row>
    <row r="682" spans="1:25" x14ac:dyDescent="0.35">
      <c r="A682">
        <v>3382</v>
      </c>
      <c r="B682" t="s">
        <v>134</v>
      </c>
      <c r="C682" t="s">
        <v>14</v>
      </c>
      <c r="D682" t="s">
        <v>232</v>
      </c>
      <c r="E682">
        <v>1</v>
      </c>
      <c r="F682">
        <v>0</v>
      </c>
      <c r="G682">
        <v>0</v>
      </c>
      <c r="H682" t="s">
        <v>297</v>
      </c>
      <c r="I682">
        <v>5</v>
      </c>
      <c r="J682">
        <v>0</v>
      </c>
      <c r="K682">
        <v>3</v>
      </c>
      <c r="L682">
        <v>0</v>
      </c>
      <c r="M682">
        <v>0</v>
      </c>
      <c r="N682">
        <v>2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5</v>
      </c>
      <c r="W682">
        <v>0</v>
      </c>
      <c r="X682">
        <v>0</v>
      </c>
      <c r="Y682" t="s">
        <v>119</v>
      </c>
    </row>
    <row r="683" spans="1:25" x14ac:dyDescent="0.35">
      <c r="A683">
        <v>3383</v>
      </c>
      <c r="B683" t="s">
        <v>134</v>
      </c>
      <c r="C683" t="s">
        <v>14</v>
      </c>
      <c r="D683" t="s">
        <v>232</v>
      </c>
      <c r="E683">
        <v>0</v>
      </c>
      <c r="F683">
        <v>0</v>
      </c>
      <c r="G683">
        <v>0</v>
      </c>
      <c r="H683" t="s">
        <v>297</v>
      </c>
      <c r="I683">
        <v>5</v>
      </c>
      <c r="J683">
        <v>0</v>
      </c>
      <c r="K683">
        <v>3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5</v>
      </c>
      <c r="W683">
        <v>0</v>
      </c>
      <c r="X683">
        <v>2</v>
      </c>
      <c r="Y683" t="s">
        <v>119</v>
      </c>
    </row>
    <row r="684" spans="1:25" x14ac:dyDescent="0.35">
      <c r="A684">
        <v>3384</v>
      </c>
      <c r="B684" t="s">
        <v>134</v>
      </c>
      <c r="C684" t="s">
        <v>119</v>
      </c>
      <c r="D684" t="s">
        <v>232</v>
      </c>
      <c r="E684">
        <v>1</v>
      </c>
      <c r="F684">
        <v>0</v>
      </c>
      <c r="G684">
        <v>0</v>
      </c>
      <c r="H684" t="s">
        <v>297</v>
      </c>
      <c r="I684">
        <v>5</v>
      </c>
      <c r="J684">
        <v>0</v>
      </c>
      <c r="K684">
        <v>5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2</v>
      </c>
      <c r="S684">
        <v>0</v>
      </c>
      <c r="T684">
        <v>0</v>
      </c>
      <c r="U684">
        <v>0</v>
      </c>
      <c r="V684">
        <v>3</v>
      </c>
      <c r="W684">
        <v>0</v>
      </c>
      <c r="X684">
        <v>0</v>
      </c>
      <c r="Y684" t="s">
        <v>119</v>
      </c>
    </row>
    <row r="685" spans="1:25" x14ac:dyDescent="0.35">
      <c r="A685">
        <v>3385</v>
      </c>
      <c r="B685" t="s">
        <v>134</v>
      </c>
      <c r="C685" t="s">
        <v>14</v>
      </c>
      <c r="D685" t="s">
        <v>232</v>
      </c>
      <c r="E685">
        <v>1</v>
      </c>
      <c r="F685">
        <v>0</v>
      </c>
      <c r="G685">
        <v>0</v>
      </c>
      <c r="H685" t="s">
        <v>297</v>
      </c>
      <c r="I685">
        <v>5</v>
      </c>
      <c r="J685">
        <v>0</v>
      </c>
      <c r="K685">
        <v>2</v>
      </c>
      <c r="L685">
        <v>0</v>
      </c>
      <c r="M685">
        <v>0</v>
      </c>
      <c r="N685">
        <v>3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5</v>
      </c>
      <c r="W685">
        <v>0</v>
      </c>
      <c r="X685">
        <v>0</v>
      </c>
      <c r="Y685" t="s">
        <v>119</v>
      </c>
    </row>
    <row r="686" spans="1:25" x14ac:dyDescent="0.35">
      <c r="A686">
        <v>3393</v>
      </c>
      <c r="B686" t="s">
        <v>134</v>
      </c>
      <c r="C686" t="s">
        <v>8</v>
      </c>
      <c r="D686" t="s">
        <v>232</v>
      </c>
      <c r="E686">
        <v>0</v>
      </c>
      <c r="F686">
        <v>0</v>
      </c>
      <c r="G686">
        <v>0</v>
      </c>
      <c r="H686" t="s">
        <v>297</v>
      </c>
      <c r="I686">
        <v>6</v>
      </c>
      <c r="J686">
        <v>0</v>
      </c>
      <c r="K686">
        <v>0</v>
      </c>
      <c r="L686">
        <v>0</v>
      </c>
      <c r="M686">
        <v>6</v>
      </c>
      <c r="N686">
        <v>0</v>
      </c>
      <c r="O686">
        <v>0</v>
      </c>
      <c r="P686">
        <v>0</v>
      </c>
      <c r="Q686">
        <v>1</v>
      </c>
      <c r="R686">
        <v>0</v>
      </c>
      <c r="S686">
        <v>0</v>
      </c>
      <c r="T686">
        <v>3</v>
      </c>
      <c r="U686">
        <v>0</v>
      </c>
      <c r="V686">
        <v>0</v>
      </c>
      <c r="W686">
        <v>0</v>
      </c>
      <c r="X686">
        <v>0</v>
      </c>
      <c r="Y686" t="s">
        <v>119</v>
      </c>
    </row>
    <row r="687" spans="1:25" x14ac:dyDescent="0.35">
      <c r="A687">
        <v>3394</v>
      </c>
      <c r="B687" t="s">
        <v>134</v>
      </c>
      <c r="C687" t="s">
        <v>8</v>
      </c>
      <c r="D687" t="s">
        <v>232</v>
      </c>
      <c r="E687">
        <v>0</v>
      </c>
      <c r="F687">
        <v>1</v>
      </c>
      <c r="G687">
        <v>0</v>
      </c>
      <c r="H687" t="s">
        <v>297</v>
      </c>
      <c r="I687">
        <v>7</v>
      </c>
      <c r="J687">
        <v>0</v>
      </c>
      <c r="K687">
        <v>0</v>
      </c>
      <c r="L687">
        <v>0</v>
      </c>
      <c r="M687">
        <v>7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2</v>
      </c>
      <c r="U687">
        <v>0</v>
      </c>
      <c r="V687">
        <v>0</v>
      </c>
      <c r="W687">
        <v>0</v>
      </c>
      <c r="X687">
        <v>1</v>
      </c>
      <c r="Y687" t="s">
        <v>119</v>
      </c>
    </row>
    <row r="688" spans="1:25" x14ac:dyDescent="0.35">
      <c r="A688">
        <v>3570</v>
      </c>
      <c r="B688" t="s">
        <v>134</v>
      </c>
      <c r="C688" t="s">
        <v>8</v>
      </c>
      <c r="D688" t="s">
        <v>232</v>
      </c>
      <c r="E688">
        <v>1</v>
      </c>
      <c r="F688">
        <v>0</v>
      </c>
      <c r="G688">
        <v>1</v>
      </c>
      <c r="H688" t="s">
        <v>297</v>
      </c>
      <c r="I688">
        <v>5</v>
      </c>
      <c r="J688">
        <v>0</v>
      </c>
      <c r="K688">
        <v>4</v>
      </c>
      <c r="L688">
        <v>0</v>
      </c>
      <c r="M688">
        <v>5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1</v>
      </c>
      <c r="W688">
        <v>0</v>
      </c>
      <c r="X688">
        <v>0</v>
      </c>
      <c r="Y688" t="s">
        <v>119</v>
      </c>
    </row>
    <row r="689" spans="1:25" x14ac:dyDescent="0.35">
      <c r="A689">
        <v>3754</v>
      </c>
      <c r="B689" t="s">
        <v>134</v>
      </c>
      <c r="C689" t="s">
        <v>14</v>
      </c>
      <c r="D689" t="s">
        <v>232</v>
      </c>
      <c r="E689">
        <v>1</v>
      </c>
      <c r="F689">
        <v>0</v>
      </c>
      <c r="G689">
        <v>0</v>
      </c>
      <c r="H689" t="s">
        <v>297</v>
      </c>
      <c r="I689">
        <v>7</v>
      </c>
      <c r="J689">
        <v>0</v>
      </c>
      <c r="K689">
        <v>1</v>
      </c>
      <c r="L689">
        <v>0</v>
      </c>
      <c r="M689">
        <v>0</v>
      </c>
      <c r="N689">
        <v>0</v>
      </c>
      <c r="O689">
        <v>2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7</v>
      </c>
      <c r="W689">
        <v>0</v>
      </c>
      <c r="X689">
        <v>0</v>
      </c>
      <c r="Y689" t="s">
        <v>119</v>
      </c>
    </row>
    <row r="690" spans="1:25" x14ac:dyDescent="0.35">
      <c r="A690">
        <v>3081</v>
      </c>
      <c r="B690" t="s">
        <v>123</v>
      </c>
      <c r="C690" t="s">
        <v>3</v>
      </c>
      <c r="D690" t="s">
        <v>293</v>
      </c>
      <c r="E690">
        <v>1</v>
      </c>
      <c r="F690">
        <v>0</v>
      </c>
      <c r="G690">
        <v>0</v>
      </c>
      <c r="H690" t="s">
        <v>297</v>
      </c>
      <c r="I690">
        <v>10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10</v>
      </c>
      <c r="T690">
        <v>0</v>
      </c>
      <c r="U690">
        <v>0</v>
      </c>
      <c r="V690">
        <v>0</v>
      </c>
      <c r="W690">
        <v>0</v>
      </c>
      <c r="X690">
        <v>0</v>
      </c>
      <c r="Y690" t="s">
        <v>3</v>
      </c>
    </row>
    <row r="691" spans="1:25" x14ac:dyDescent="0.35">
      <c r="A691">
        <v>3085</v>
      </c>
      <c r="B691" t="s">
        <v>123</v>
      </c>
      <c r="C691" t="s">
        <v>3</v>
      </c>
      <c r="D691" t="s">
        <v>293</v>
      </c>
      <c r="E691">
        <v>0</v>
      </c>
      <c r="F691">
        <v>0</v>
      </c>
      <c r="G691">
        <v>0</v>
      </c>
      <c r="H691" t="s">
        <v>297</v>
      </c>
      <c r="I691">
        <v>7</v>
      </c>
      <c r="J691">
        <v>0</v>
      </c>
      <c r="K691">
        <v>0</v>
      </c>
      <c r="L691">
        <v>0</v>
      </c>
      <c r="M691">
        <v>0</v>
      </c>
      <c r="N691">
        <v>1</v>
      </c>
      <c r="O691">
        <v>2</v>
      </c>
      <c r="P691">
        <v>0</v>
      </c>
      <c r="Q691">
        <v>0</v>
      </c>
      <c r="R691">
        <v>0</v>
      </c>
      <c r="S691">
        <v>7</v>
      </c>
      <c r="T691">
        <v>0</v>
      </c>
      <c r="U691">
        <v>0</v>
      </c>
      <c r="V691">
        <v>0</v>
      </c>
      <c r="W691">
        <v>0</v>
      </c>
      <c r="X691">
        <v>0</v>
      </c>
      <c r="Y691" t="s">
        <v>3</v>
      </c>
    </row>
    <row r="692" spans="1:25" x14ac:dyDescent="0.35">
      <c r="A692">
        <v>3087</v>
      </c>
      <c r="B692" t="s">
        <v>123</v>
      </c>
      <c r="C692" t="s">
        <v>3</v>
      </c>
      <c r="D692" t="s">
        <v>293</v>
      </c>
      <c r="E692">
        <v>1</v>
      </c>
      <c r="F692">
        <v>0</v>
      </c>
      <c r="G692">
        <v>0</v>
      </c>
      <c r="H692" t="s">
        <v>297</v>
      </c>
      <c r="I692">
        <v>7</v>
      </c>
      <c r="J692">
        <v>0</v>
      </c>
      <c r="K692">
        <v>0</v>
      </c>
      <c r="L692">
        <v>0</v>
      </c>
      <c r="M692">
        <v>0</v>
      </c>
      <c r="N692">
        <v>1</v>
      </c>
      <c r="O692">
        <v>0</v>
      </c>
      <c r="P692">
        <v>0</v>
      </c>
      <c r="Q692">
        <v>0</v>
      </c>
      <c r="R692">
        <v>0</v>
      </c>
      <c r="S692">
        <v>7</v>
      </c>
      <c r="T692">
        <v>0</v>
      </c>
      <c r="U692">
        <v>0</v>
      </c>
      <c r="V692">
        <v>0</v>
      </c>
      <c r="W692">
        <v>0</v>
      </c>
      <c r="X692">
        <v>2</v>
      </c>
      <c r="Y692" t="s">
        <v>3</v>
      </c>
    </row>
    <row r="693" spans="1:25" x14ac:dyDescent="0.35">
      <c r="A693">
        <v>3090</v>
      </c>
      <c r="B693" t="s">
        <v>123</v>
      </c>
      <c r="C693" t="s">
        <v>3</v>
      </c>
      <c r="D693" t="s">
        <v>293</v>
      </c>
      <c r="E693">
        <v>0</v>
      </c>
      <c r="F693">
        <v>0</v>
      </c>
      <c r="G693">
        <v>0</v>
      </c>
      <c r="H693" t="s">
        <v>297</v>
      </c>
      <c r="I693">
        <v>8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</v>
      </c>
      <c r="P693">
        <v>0</v>
      </c>
      <c r="Q693">
        <v>0</v>
      </c>
      <c r="R693">
        <v>0</v>
      </c>
      <c r="S693">
        <v>8</v>
      </c>
      <c r="T693">
        <v>0</v>
      </c>
      <c r="U693">
        <v>0</v>
      </c>
      <c r="V693">
        <v>0</v>
      </c>
      <c r="W693">
        <v>0</v>
      </c>
      <c r="X693">
        <v>1</v>
      </c>
      <c r="Y693" t="s">
        <v>3</v>
      </c>
    </row>
    <row r="694" spans="1:25" x14ac:dyDescent="0.35">
      <c r="A694">
        <v>3092</v>
      </c>
      <c r="B694" t="s">
        <v>123</v>
      </c>
      <c r="C694" t="s">
        <v>3</v>
      </c>
      <c r="D694" t="s">
        <v>293</v>
      </c>
      <c r="E694">
        <v>0</v>
      </c>
      <c r="F694">
        <v>0</v>
      </c>
      <c r="G694">
        <v>1</v>
      </c>
      <c r="H694" t="s">
        <v>297</v>
      </c>
      <c r="I694">
        <v>8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>
        <v>0</v>
      </c>
      <c r="Q694">
        <v>0</v>
      </c>
      <c r="R694">
        <v>0</v>
      </c>
      <c r="S694">
        <v>8</v>
      </c>
      <c r="T694">
        <v>1</v>
      </c>
      <c r="U694">
        <v>0</v>
      </c>
      <c r="V694">
        <v>0</v>
      </c>
      <c r="W694">
        <v>0</v>
      </c>
      <c r="X694">
        <v>0</v>
      </c>
      <c r="Y694" t="s">
        <v>3</v>
      </c>
    </row>
    <row r="695" spans="1:25" x14ac:dyDescent="0.35">
      <c r="A695">
        <v>3155</v>
      </c>
      <c r="B695" t="s">
        <v>123</v>
      </c>
      <c r="C695" t="s">
        <v>3</v>
      </c>
      <c r="D695" t="s">
        <v>293</v>
      </c>
      <c r="E695">
        <v>0</v>
      </c>
      <c r="F695">
        <v>0</v>
      </c>
      <c r="G695">
        <v>1</v>
      </c>
      <c r="H695" t="s">
        <v>297</v>
      </c>
      <c r="I695">
        <v>7</v>
      </c>
      <c r="J695">
        <v>0</v>
      </c>
      <c r="K695">
        <v>0</v>
      </c>
      <c r="L695">
        <v>0</v>
      </c>
      <c r="M695">
        <v>0</v>
      </c>
      <c r="N695">
        <v>3</v>
      </c>
      <c r="O695">
        <v>0</v>
      </c>
      <c r="P695">
        <v>0</v>
      </c>
      <c r="Q695">
        <v>0</v>
      </c>
      <c r="R695">
        <v>0</v>
      </c>
      <c r="S695">
        <v>7</v>
      </c>
      <c r="T695">
        <v>0</v>
      </c>
      <c r="U695">
        <v>0</v>
      </c>
      <c r="V695">
        <v>0</v>
      </c>
      <c r="W695">
        <v>0</v>
      </c>
      <c r="X695">
        <v>0</v>
      </c>
      <c r="Y695" t="s">
        <v>3</v>
      </c>
    </row>
    <row r="696" spans="1:25" x14ac:dyDescent="0.35">
      <c r="A696">
        <v>3210</v>
      </c>
      <c r="B696" t="s">
        <v>123</v>
      </c>
      <c r="C696" t="s">
        <v>3</v>
      </c>
      <c r="D696" t="s">
        <v>293</v>
      </c>
      <c r="E696">
        <v>0</v>
      </c>
      <c r="F696">
        <v>0</v>
      </c>
      <c r="G696">
        <v>0</v>
      </c>
      <c r="H696" t="s">
        <v>297</v>
      </c>
      <c r="I696">
        <v>7</v>
      </c>
      <c r="J696">
        <v>0</v>
      </c>
      <c r="K696">
        <v>0</v>
      </c>
      <c r="L696">
        <v>2</v>
      </c>
      <c r="M696">
        <v>0</v>
      </c>
      <c r="N696">
        <v>1</v>
      </c>
      <c r="O696">
        <v>0</v>
      </c>
      <c r="P696">
        <v>0</v>
      </c>
      <c r="Q696">
        <v>0</v>
      </c>
      <c r="R696">
        <v>0</v>
      </c>
      <c r="S696">
        <v>7</v>
      </c>
      <c r="T696">
        <v>0</v>
      </c>
      <c r="U696">
        <v>0</v>
      </c>
      <c r="V696">
        <v>0</v>
      </c>
      <c r="W696">
        <v>0</v>
      </c>
      <c r="X696">
        <v>0</v>
      </c>
      <c r="Y696" t="s">
        <v>3</v>
      </c>
    </row>
    <row r="697" spans="1:25" x14ac:dyDescent="0.35">
      <c r="A697">
        <v>3296</v>
      </c>
      <c r="B697" t="s">
        <v>123</v>
      </c>
      <c r="C697" t="s">
        <v>3</v>
      </c>
      <c r="D697" t="s">
        <v>293</v>
      </c>
      <c r="E697">
        <v>1</v>
      </c>
      <c r="F697">
        <v>0</v>
      </c>
      <c r="G697">
        <v>0</v>
      </c>
      <c r="H697" t="s">
        <v>297</v>
      </c>
      <c r="I697">
        <v>7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2</v>
      </c>
      <c r="P697">
        <v>0</v>
      </c>
      <c r="Q697">
        <v>0</v>
      </c>
      <c r="R697">
        <v>0</v>
      </c>
      <c r="S697">
        <v>7</v>
      </c>
      <c r="T697">
        <v>0</v>
      </c>
      <c r="U697">
        <v>0</v>
      </c>
      <c r="V697">
        <v>0</v>
      </c>
      <c r="W697">
        <v>0</v>
      </c>
      <c r="X697">
        <v>0</v>
      </c>
      <c r="Y697" t="s">
        <v>3</v>
      </c>
    </row>
    <row r="698" spans="1:25" x14ac:dyDescent="0.35">
      <c r="A698">
        <v>3300</v>
      </c>
      <c r="B698" t="s">
        <v>123</v>
      </c>
      <c r="C698" t="s">
        <v>3</v>
      </c>
      <c r="D698" t="s">
        <v>293</v>
      </c>
      <c r="E698">
        <v>1</v>
      </c>
      <c r="F698">
        <v>0</v>
      </c>
      <c r="G698">
        <v>0</v>
      </c>
      <c r="H698" t="s">
        <v>297</v>
      </c>
      <c r="I698">
        <v>6</v>
      </c>
      <c r="J698">
        <v>0</v>
      </c>
      <c r="K698">
        <v>2</v>
      </c>
      <c r="L698">
        <v>0</v>
      </c>
      <c r="M698">
        <v>0</v>
      </c>
      <c r="N698">
        <v>0</v>
      </c>
      <c r="O698">
        <v>2</v>
      </c>
      <c r="P698">
        <v>0</v>
      </c>
      <c r="Q698">
        <v>0</v>
      </c>
      <c r="R698">
        <v>0</v>
      </c>
      <c r="S698">
        <v>6</v>
      </c>
      <c r="T698">
        <v>0</v>
      </c>
      <c r="U698">
        <v>0</v>
      </c>
      <c r="V698">
        <v>0</v>
      </c>
      <c r="W698">
        <v>0</v>
      </c>
      <c r="X698">
        <v>0</v>
      </c>
      <c r="Y698" t="s">
        <v>3</v>
      </c>
    </row>
    <row r="699" spans="1:25" x14ac:dyDescent="0.35">
      <c r="A699">
        <v>3303</v>
      </c>
      <c r="B699" t="s">
        <v>123</v>
      </c>
      <c r="C699" t="s">
        <v>3</v>
      </c>
      <c r="D699" t="s">
        <v>293</v>
      </c>
      <c r="E699">
        <v>0</v>
      </c>
      <c r="F699">
        <v>0</v>
      </c>
      <c r="G699">
        <v>0</v>
      </c>
      <c r="H699" t="s">
        <v>297</v>
      </c>
      <c r="I699">
        <v>7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2</v>
      </c>
      <c r="P699">
        <v>1</v>
      </c>
      <c r="Q699">
        <v>0</v>
      </c>
      <c r="R699">
        <v>0</v>
      </c>
      <c r="S699">
        <v>7</v>
      </c>
      <c r="T699">
        <v>0</v>
      </c>
      <c r="U699">
        <v>0</v>
      </c>
      <c r="V699">
        <v>0</v>
      </c>
      <c r="W699">
        <v>0</v>
      </c>
      <c r="X699">
        <v>0</v>
      </c>
      <c r="Y699" t="s">
        <v>3</v>
      </c>
    </row>
    <row r="700" spans="1:25" x14ac:dyDescent="0.35">
      <c r="A700">
        <v>3431</v>
      </c>
      <c r="B700" t="s">
        <v>123</v>
      </c>
      <c r="C700" t="s">
        <v>3</v>
      </c>
      <c r="D700" t="s">
        <v>293</v>
      </c>
      <c r="E700">
        <v>0</v>
      </c>
      <c r="F700">
        <v>0</v>
      </c>
      <c r="G700">
        <v>0</v>
      </c>
      <c r="H700" t="s">
        <v>297</v>
      </c>
      <c r="I700">
        <v>5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1</v>
      </c>
      <c r="P700">
        <v>0</v>
      </c>
      <c r="Q700">
        <v>4</v>
      </c>
      <c r="R700">
        <v>0</v>
      </c>
      <c r="S700">
        <v>5</v>
      </c>
      <c r="T700">
        <v>0</v>
      </c>
      <c r="U700">
        <v>0</v>
      </c>
      <c r="V700">
        <v>0</v>
      </c>
      <c r="W700">
        <v>0</v>
      </c>
      <c r="X700">
        <v>0</v>
      </c>
      <c r="Y700" t="s">
        <v>3</v>
      </c>
    </row>
    <row r="701" spans="1:25" x14ac:dyDescent="0.35">
      <c r="A701">
        <v>3475</v>
      </c>
      <c r="B701" t="s">
        <v>123</v>
      </c>
      <c r="C701" t="s">
        <v>3</v>
      </c>
      <c r="D701" t="s">
        <v>293</v>
      </c>
      <c r="E701">
        <v>1</v>
      </c>
      <c r="F701">
        <v>0</v>
      </c>
      <c r="G701">
        <v>0</v>
      </c>
      <c r="H701" t="s">
        <v>297</v>
      </c>
      <c r="I701">
        <v>8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>
        <v>1</v>
      </c>
      <c r="Q701">
        <v>0</v>
      </c>
      <c r="R701">
        <v>0</v>
      </c>
      <c r="S701">
        <v>8</v>
      </c>
      <c r="T701">
        <v>0</v>
      </c>
      <c r="U701">
        <v>0</v>
      </c>
      <c r="V701">
        <v>0</v>
      </c>
      <c r="W701">
        <v>0</v>
      </c>
      <c r="X701">
        <v>0</v>
      </c>
      <c r="Y701" t="s">
        <v>3</v>
      </c>
    </row>
    <row r="702" spans="1:25" x14ac:dyDescent="0.35">
      <c r="A702">
        <v>3493</v>
      </c>
      <c r="B702" t="s">
        <v>123</v>
      </c>
      <c r="C702" t="s">
        <v>3</v>
      </c>
      <c r="D702" t="s">
        <v>293</v>
      </c>
      <c r="E702">
        <v>0</v>
      </c>
      <c r="F702">
        <v>0</v>
      </c>
      <c r="G702">
        <v>0</v>
      </c>
      <c r="H702" t="s">
        <v>297</v>
      </c>
      <c r="I702">
        <v>8</v>
      </c>
      <c r="J702">
        <v>0</v>
      </c>
      <c r="K702">
        <v>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1</v>
      </c>
      <c r="R702">
        <v>0</v>
      </c>
      <c r="S702">
        <v>8</v>
      </c>
      <c r="T702">
        <v>0</v>
      </c>
      <c r="U702">
        <v>0</v>
      </c>
      <c r="V702">
        <v>0</v>
      </c>
      <c r="W702">
        <v>0</v>
      </c>
      <c r="X702">
        <v>0</v>
      </c>
      <c r="Y702" t="s">
        <v>3</v>
      </c>
    </row>
    <row r="703" spans="1:25" x14ac:dyDescent="0.35">
      <c r="A703">
        <v>3625</v>
      </c>
      <c r="B703" t="s">
        <v>123</v>
      </c>
      <c r="C703" t="s">
        <v>3</v>
      </c>
      <c r="D703" t="s">
        <v>293</v>
      </c>
      <c r="E703">
        <v>0</v>
      </c>
      <c r="F703">
        <v>0</v>
      </c>
      <c r="G703">
        <v>0</v>
      </c>
      <c r="H703" t="s">
        <v>297</v>
      </c>
      <c r="I703">
        <v>5</v>
      </c>
      <c r="J703">
        <v>0</v>
      </c>
      <c r="K703">
        <v>4</v>
      </c>
      <c r="L703">
        <v>0</v>
      </c>
      <c r="M703">
        <v>0</v>
      </c>
      <c r="N703">
        <v>0</v>
      </c>
      <c r="O703">
        <v>1</v>
      </c>
      <c r="P703">
        <v>0</v>
      </c>
      <c r="Q703">
        <v>0</v>
      </c>
      <c r="R703">
        <v>0</v>
      </c>
      <c r="S703">
        <v>5</v>
      </c>
      <c r="T703">
        <v>0</v>
      </c>
      <c r="U703">
        <v>0</v>
      </c>
      <c r="V703">
        <v>0</v>
      </c>
      <c r="W703">
        <v>0</v>
      </c>
      <c r="X703">
        <v>0</v>
      </c>
      <c r="Y703" t="s">
        <v>3</v>
      </c>
    </row>
    <row r="704" spans="1:25" x14ac:dyDescent="0.35">
      <c r="A704">
        <v>3650</v>
      </c>
      <c r="B704" t="s">
        <v>123</v>
      </c>
      <c r="C704" t="s">
        <v>3</v>
      </c>
      <c r="D704" t="s">
        <v>293</v>
      </c>
      <c r="E704">
        <v>0</v>
      </c>
      <c r="F704">
        <v>0</v>
      </c>
      <c r="G704">
        <v>0</v>
      </c>
      <c r="H704" t="s">
        <v>297</v>
      </c>
      <c r="I704">
        <v>8</v>
      </c>
      <c r="J704">
        <v>0</v>
      </c>
      <c r="K704">
        <v>0</v>
      </c>
      <c r="L704">
        <v>1</v>
      </c>
      <c r="M704">
        <v>0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8</v>
      </c>
      <c r="T704">
        <v>0</v>
      </c>
      <c r="U704">
        <v>0</v>
      </c>
      <c r="V704">
        <v>0</v>
      </c>
      <c r="W704">
        <v>0</v>
      </c>
      <c r="X704">
        <v>0</v>
      </c>
      <c r="Y704" t="s">
        <v>3</v>
      </c>
    </row>
    <row r="705" spans="1:25" x14ac:dyDescent="0.35">
      <c r="A705">
        <v>3655</v>
      </c>
      <c r="B705" t="s">
        <v>123</v>
      </c>
      <c r="C705" t="s">
        <v>3</v>
      </c>
      <c r="D705" t="s">
        <v>293</v>
      </c>
      <c r="E705">
        <v>0</v>
      </c>
      <c r="F705">
        <v>0</v>
      </c>
      <c r="G705">
        <v>0</v>
      </c>
      <c r="H705" t="s">
        <v>297</v>
      </c>
      <c r="I705">
        <v>7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1</v>
      </c>
      <c r="P705">
        <v>0</v>
      </c>
      <c r="Q705">
        <v>0</v>
      </c>
      <c r="R705">
        <v>0</v>
      </c>
      <c r="S705">
        <v>7</v>
      </c>
      <c r="T705">
        <v>2</v>
      </c>
      <c r="U705">
        <v>0</v>
      </c>
      <c r="V705">
        <v>0</v>
      </c>
      <c r="W705">
        <v>0</v>
      </c>
      <c r="X705">
        <v>0</v>
      </c>
      <c r="Y705" t="s">
        <v>3</v>
      </c>
    </row>
    <row r="706" spans="1:25" x14ac:dyDescent="0.35">
      <c r="A706">
        <v>3677</v>
      </c>
      <c r="B706" t="s">
        <v>123</v>
      </c>
      <c r="C706" t="s">
        <v>3</v>
      </c>
      <c r="D706" t="s">
        <v>293</v>
      </c>
      <c r="E706">
        <v>0</v>
      </c>
      <c r="F706">
        <v>0</v>
      </c>
      <c r="G706">
        <v>1</v>
      </c>
      <c r="H706" t="s">
        <v>297</v>
      </c>
      <c r="I706">
        <v>5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2</v>
      </c>
      <c r="P706">
        <v>0</v>
      </c>
      <c r="Q706">
        <v>0</v>
      </c>
      <c r="R706">
        <v>0</v>
      </c>
      <c r="S706">
        <v>5</v>
      </c>
      <c r="T706">
        <v>3</v>
      </c>
      <c r="U706">
        <v>0</v>
      </c>
      <c r="V706">
        <v>0</v>
      </c>
      <c r="W706">
        <v>0</v>
      </c>
      <c r="X706">
        <v>0</v>
      </c>
      <c r="Y706" t="s">
        <v>3</v>
      </c>
    </row>
    <row r="707" spans="1:25" x14ac:dyDescent="0.35">
      <c r="A707">
        <v>3742</v>
      </c>
      <c r="B707" t="s">
        <v>123</v>
      </c>
      <c r="C707" t="s">
        <v>3</v>
      </c>
      <c r="D707" t="s">
        <v>293</v>
      </c>
      <c r="E707">
        <v>1</v>
      </c>
      <c r="F707">
        <v>0</v>
      </c>
      <c r="G707">
        <v>0</v>
      </c>
      <c r="H707" t="s">
        <v>297</v>
      </c>
      <c r="I707">
        <v>6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6</v>
      </c>
      <c r="T707">
        <v>3</v>
      </c>
      <c r="U707">
        <v>0</v>
      </c>
      <c r="V707">
        <v>1</v>
      </c>
      <c r="W707">
        <v>0</v>
      </c>
      <c r="X707">
        <v>0</v>
      </c>
      <c r="Y707" t="s">
        <v>3</v>
      </c>
    </row>
    <row r="708" spans="1:25" x14ac:dyDescent="0.35">
      <c r="A708">
        <v>3743</v>
      </c>
      <c r="B708" t="s">
        <v>123</v>
      </c>
      <c r="C708" t="s">
        <v>3</v>
      </c>
      <c r="D708" t="s">
        <v>293</v>
      </c>
      <c r="E708">
        <v>0</v>
      </c>
      <c r="F708">
        <v>0</v>
      </c>
      <c r="G708">
        <v>0</v>
      </c>
      <c r="H708" t="s">
        <v>297</v>
      </c>
      <c r="I708">
        <v>5</v>
      </c>
      <c r="J708">
        <v>0</v>
      </c>
      <c r="K708">
        <v>2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5</v>
      </c>
      <c r="T708">
        <v>3</v>
      </c>
      <c r="U708">
        <v>0</v>
      </c>
      <c r="V708">
        <v>0</v>
      </c>
      <c r="W708">
        <v>0</v>
      </c>
      <c r="X708">
        <v>0</v>
      </c>
      <c r="Y708" t="s">
        <v>3</v>
      </c>
    </row>
    <row r="709" spans="1:25" x14ac:dyDescent="0.35">
      <c r="A709">
        <v>3826</v>
      </c>
      <c r="B709" t="s">
        <v>123</v>
      </c>
      <c r="C709" t="s">
        <v>3</v>
      </c>
      <c r="D709" t="s">
        <v>293</v>
      </c>
      <c r="E709">
        <v>0</v>
      </c>
      <c r="F709">
        <v>0</v>
      </c>
      <c r="G709">
        <v>1</v>
      </c>
      <c r="H709" t="s">
        <v>297</v>
      </c>
      <c r="I709">
        <v>7</v>
      </c>
      <c r="J709">
        <v>0</v>
      </c>
      <c r="K709">
        <v>0</v>
      </c>
      <c r="L709">
        <v>0</v>
      </c>
      <c r="M709">
        <v>2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7</v>
      </c>
      <c r="T709">
        <v>0</v>
      </c>
      <c r="U709">
        <v>0</v>
      </c>
      <c r="V709">
        <v>0</v>
      </c>
      <c r="W709">
        <v>0</v>
      </c>
      <c r="X709">
        <v>1</v>
      </c>
      <c r="Y709" t="s">
        <v>3</v>
      </c>
    </row>
    <row r="710" spans="1:25" x14ac:dyDescent="0.35">
      <c r="A710">
        <v>3059</v>
      </c>
      <c r="B710" t="s">
        <v>187</v>
      </c>
      <c r="C710" t="s">
        <v>7</v>
      </c>
      <c r="D710" t="s">
        <v>292</v>
      </c>
      <c r="E710">
        <v>0</v>
      </c>
      <c r="F710">
        <v>0</v>
      </c>
      <c r="G710">
        <v>0</v>
      </c>
      <c r="H710" t="s">
        <v>297</v>
      </c>
      <c r="I710">
        <v>8</v>
      </c>
      <c r="J710">
        <v>0</v>
      </c>
      <c r="K710">
        <v>0</v>
      </c>
      <c r="L710">
        <v>0</v>
      </c>
      <c r="M710">
        <v>0</v>
      </c>
      <c r="N710">
        <v>1</v>
      </c>
      <c r="O710">
        <v>8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1</v>
      </c>
      <c r="V710">
        <v>0</v>
      </c>
      <c r="W710">
        <v>0</v>
      </c>
      <c r="X710">
        <v>0</v>
      </c>
      <c r="Y710" t="s">
        <v>119</v>
      </c>
    </row>
    <row r="711" spans="1:25" x14ac:dyDescent="0.35">
      <c r="A711">
        <v>3097</v>
      </c>
      <c r="B711" t="s">
        <v>187</v>
      </c>
      <c r="C711" t="s">
        <v>7</v>
      </c>
      <c r="D711" t="s">
        <v>292</v>
      </c>
      <c r="E711">
        <v>0</v>
      </c>
      <c r="F711">
        <v>0</v>
      </c>
      <c r="G711">
        <v>1</v>
      </c>
      <c r="H711" t="s">
        <v>297</v>
      </c>
      <c r="I711">
        <v>5</v>
      </c>
      <c r="J711">
        <v>0</v>
      </c>
      <c r="K711">
        <v>0</v>
      </c>
      <c r="L711">
        <v>0</v>
      </c>
      <c r="M711">
        <v>3</v>
      </c>
      <c r="N711">
        <v>2</v>
      </c>
      <c r="O711">
        <v>5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 t="s">
        <v>119</v>
      </c>
    </row>
    <row r="712" spans="1:25" x14ac:dyDescent="0.35">
      <c r="A712">
        <v>3288</v>
      </c>
      <c r="B712" t="s">
        <v>187</v>
      </c>
      <c r="C712" t="s">
        <v>10</v>
      </c>
      <c r="D712" t="s">
        <v>292</v>
      </c>
      <c r="E712">
        <v>1</v>
      </c>
      <c r="F712">
        <v>0</v>
      </c>
      <c r="G712">
        <v>0</v>
      </c>
      <c r="H712" t="s">
        <v>297</v>
      </c>
      <c r="I712">
        <v>7</v>
      </c>
      <c r="J712">
        <v>7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</v>
      </c>
      <c r="R712">
        <v>0</v>
      </c>
      <c r="S712">
        <v>0</v>
      </c>
      <c r="T712">
        <v>2</v>
      </c>
      <c r="U712">
        <v>0</v>
      </c>
      <c r="V712">
        <v>0</v>
      </c>
      <c r="W712">
        <v>0</v>
      </c>
      <c r="X712">
        <v>0</v>
      </c>
      <c r="Y712" t="s">
        <v>119</v>
      </c>
    </row>
    <row r="713" spans="1:25" x14ac:dyDescent="0.35">
      <c r="A713">
        <v>3381</v>
      </c>
      <c r="B713" t="s">
        <v>187</v>
      </c>
      <c r="C713" t="s">
        <v>119</v>
      </c>
      <c r="D713" t="s">
        <v>292</v>
      </c>
      <c r="E713">
        <v>1</v>
      </c>
      <c r="F713">
        <v>0</v>
      </c>
      <c r="G713">
        <v>0</v>
      </c>
      <c r="H713" t="s">
        <v>297</v>
      </c>
      <c r="I713">
        <v>6</v>
      </c>
      <c r="J713">
        <v>0</v>
      </c>
      <c r="K713">
        <v>6</v>
      </c>
      <c r="L713">
        <v>0</v>
      </c>
      <c r="M713">
        <v>0</v>
      </c>
      <c r="N713">
        <v>0</v>
      </c>
      <c r="O713">
        <v>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2</v>
      </c>
      <c r="W713">
        <v>0</v>
      </c>
      <c r="X713">
        <v>0</v>
      </c>
      <c r="Y713" t="s">
        <v>119</v>
      </c>
    </row>
    <row r="714" spans="1:25" x14ac:dyDescent="0.35">
      <c r="A714">
        <v>3447</v>
      </c>
      <c r="B714" t="s">
        <v>187</v>
      </c>
      <c r="C714" t="s">
        <v>7</v>
      </c>
      <c r="D714" t="s">
        <v>292</v>
      </c>
      <c r="E714">
        <v>1</v>
      </c>
      <c r="F714">
        <v>0</v>
      </c>
      <c r="G714">
        <v>0</v>
      </c>
      <c r="H714" t="s">
        <v>297</v>
      </c>
      <c r="I714">
        <v>8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8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1</v>
      </c>
      <c r="V714">
        <v>0</v>
      </c>
      <c r="W714">
        <v>0</v>
      </c>
      <c r="X714">
        <v>0</v>
      </c>
      <c r="Y714" t="s">
        <v>119</v>
      </c>
    </row>
    <row r="715" spans="1:25" x14ac:dyDescent="0.35">
      <c r="A715">
        <v>3466</v>
      </c>
      <c r="B715" t="s">
        <v>187</v>
      </c>
      <c r="C715" t="s">
        <v>7</v>
      </c>
      <c r="D715" t="s">
        <v>292</v>
      </c>
      <c r="E715">
        <v>1</v>
      </c>
      <c r="F715">
        <v>0</v>
      </c>
      <c r="G715">
        <v>1</v>
      </c>
      <c r="H715" t="s">
        <v>297</v>
      </c>
      <c r="I715">
        <v>5</v>
      </c>
      <c r="J715">
        <v>0</v>
      </c>
      <c r="K715">
        <v>0</v>
      </c>
      <c r="L715">
        <v>0</v>
      </c>
      <c r="M715">
        <v>0</v>
      </c>
      <c r="N715">
        <v>2</v>
      </c>
      <c r="O715">
        <v>5</v>
      </c>
      <c r="P715">
        <v>0</v>
      </c>
      <c r="Q715">
        <v>0</v>
      </c>
      <c r="R715">
        <v>0</v>
      </c>
      <c r="S715">
        <v>3</v>
      </c>
      <c r="T715">
        <v>0</v>
      </c>
      <c r="U715">
        <v>0</v>
      </c>
      <c r="V715">
        <v>0</v>
      </c>
      <c r="W715">
        <v>0</v>
      </c>
      <c r="X715">
        <v>0</v>
      </c>
      <c r="Y715" t="s">
        <v>119</v>
      </c>
    </row>
    <row r="716" spans="1:25" x14ac:dyDescent="0.35">
      <c r="A716">
        <v>3592</v>
      </c>
      <c r="B716" t="s">
        <v>187</v>
      </c>
      <c r="C716" t="s">
        <v>7</v>
      </c>
      <c r="D716" t="s">
        <v>292</v>
      </c>
      <c r="E716">
        <v>1</v>
      </c>
      <c r="F716">
        <v>0</v>
      </c>
      <c r="G716">
        <v>0</v>
      </c>
      <c r="H716" t="s">
        <v>297</v>
      </c>
      <c r="I716">
        <v>5</v>
      </c>
      <c r="J716">
        <v>0</v>
      </c>
      <c r="K716">
        <v>0</v>
      </c>
      <c r="L716">
        <v>0</v>
      </c>
      <c r="M716">
        <v>0</v>
      </c>
      <c r="N716">
        <v>5</v>
      </c>
      <c r="O716">
        <v>5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 t="s">
        <v>119</v>
      </c>
    </row>
    <row r="717" spans="1:25" x14ac:dyDescent="0.35">
      <c r="A717">
        <v>3721</v>
      </c>
      <c r="B717" t="s">
        <v>187</v>
      </c>
      <c r="C717" t="s">
        <v>7</v>
      </c>
      <c r="D717" t="s">
        <v>292</v>
      </c>
      <c r="E717">
        <v>1</v>
      </c>
      <c r="F717">
        <v>0</v>
      </c>
      <c r="G717">
        <v>0</v>
      </c>
      <c r="H717" t="s">
        <v>297</v>
      </c>
      <c r="I717">
        <v>5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5</v>
      </c>
      <c r="P717">
        <v>0</v>
      </c>
      <c r="Q717">
        <v>0</v>
      </c>
      <c r="R717">
        <v>0</v>
      </c>
      <c r="S717">
        <v>1</v>
      </c>
      <c r="T717">
        <v>4</v>
      </c>
      <c r="U717">
        <v>0</v>
      </c>
      <c r="V717">
        <v>0</v>
      </c>
      <c r="W717">
        <v>0</v>
      </c>
      <c r="X717">
        <v>0</v>
      </c>
      <c r="Y717" t="s">
        <v>119</v>
      </c>
    </row>
    <row r="718" spans="1:25" x14ac:dyDescent="0.35">
      <c r="A718">
        <v>3730</v>
      </c>
      <c r="B718" t="s">
        <v>187</v>
      </c>
      <c r="C718" t="s">
        <v>7</v>
      </c>
      <c r="D718" t="s">
        <v>292</v>
      </c>
      <c r="E718">
        <v>0</v>
      </c>
      <c r="F718">
        <v>0</v>
      </c>
      <c r="G718">
        <v>1</v>
      </c>
      <c r="H718" t="s">
        <v>297</v>
      </c>
      <c r="I718">
        <v>5</v>
      </c>
      <c r="J718">
        <v>0</v>
      </c>
      <c r="K718">
        <v>0</v>
      </c>
      <c r="L718">
        <v>1</v>
      </c>
      <c r="M718">
        <v>0</v>
      </c>
      <c r="N718">
        <v>0</v>
      </c>
      <c r="O718">
        <v>5</v>
      </c>
      <c r="P718">
        <v>0</v>
      </c>
      <c r="Q718">
        <v>0</v>
      </c>
      <c r="R718">
        <v>0</v>
      </c>
      <c r="S718">
        <v>4</v>
      </c>
      <c r="T718">
        <v>0</v>
      </c>
      <c r="U718">
        <v>0</v>
      </c>
      <c r="V718">
        <v>0</v>
      </c>
      <c r="W718">
        <v>0</v>
      </c>
      <c r="X718">
        <v>0</v>
      </c>
      <c r="Y718" t="s">
        <v>119</v>
      </c>
    </row>
    <row r="719" spans="1:25" x14ac:dyDescent="0.35">
      <c r="A719">
        <v>3732</v>
      </c>
      <c r="B719" t="s">
        <v>187</v>
      </c>
      <c r="C719" t="s">
        <v>7</v>
      </c>
      <c r="D719" t="s">
        <v>292</v>
      </c>
      <c r="E719">
        <v>0</v>
      </c>
      <c r="F719">
        <v>0</v>
      </c>
      <c r="G719">
        <v>0</v>
      </c>
      <c r="H719" t="s">
        <v>297</v>
      </c>
      <c r="I719">
        <v>7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7</v>
      </c>
      <c r="P719">
        <v>0</v>
      </c>
      <c r="Q719">
        <v>1</v>
      </c>
      <c r="R719">
        <v>0</v>
      </c>
      <c r="S719">
        <v>2</v>
      </c>
      <c r="T719">
        <v>0</v>
      </c>
      <c r="U719">
        <v>0</v>
      </c>
      <c r="V719">
        <v>0</v>
      </c>
      <c r="W719">
        <v>0</v>
      </c>
      <c r="X719">
        <v>0</v>
      </c>
      <c r="Y719" t="s">
        <v>119</v>
      </c>
    </row>
    <row r="720" spans="1:25" x14ac:dyDescent="0.35">
      <c r="A720">
        <v>3735</v>
      </c>
      <c r="B720" t="s">
        <v>187</v>
      </c>
      <c r="C720" t="s">
        <v>7</v>
      </c>
      <c r="D720" t="s">
        <v>292</v>
      </c>
      <c r="E720">
        <v>1</v>
      </c>
      <c r="F720">
        <v>0</v>
      </c>
      <c r="G720">
        <v>0</v>
      </c>
      <c r="H720" t="s">
        <v>297</v>
      </c>
      <c r="I720">
        <v>6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6</v>
      </c>
      <c r="P720">
        <v>0</v>
      </c>
      <c r="Q720">
        <v>0</v>
      </c>
      <c r="R720">
        <v>0</v>
      </c>
      <c r="S720">
        <v>1</v>
      </c>
      <c r="T720">
        <v>3</v>
      </c>
      <c r="U720">
        <v>0</v>
      </c>
      <c r="V720">
        <v>0</v>
      </c>
      <c r="W720">
        <v>0</v>
      </c>
      <c r="X720">
        <v>0</v>
      </c>
      <c r="Y720" t="s">
        <v>119</v>
      </c>
    </row>
    <row r="721" spans="1:25" x14ac:dyDescent="0.35">
      <c r="A721">
        <v>3757</v>
      </c>
      <c r="B721" t="s">
        <v>187</v>
      </c>
      <c r="C721" t="s">
        <v>119</v>
      </c>
      <c r="D721" t="s">
        <v>292</v>
      </c>
      <c r="E721">
        <v>1</v>
      </c>
      <c r="F721">
        <v>0</v>
      </c>
      <c r="G721">
        <v>0</v>
      </c>
      <c r="H721" t="s">
        <v>297</v>
      </c>
      <c r="I721">
        <v>6</v>
      </c>
      <c r="J721">
        <v>0</v>
      </c>
      <c r="K721">
        <v>6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3</v>
      </c>
      <c r="W721">
        <v>0</v>
      </c>
      <c r="X721">
        <v>0</v>
      </c>
      <c r="Y721" t="s">
        <v>119</v>
      </c>
    </row>
    <row r="722" spans="1:25" x14ac:dyDescent="0.35">
      <c r="A722">
        <v>3791</v>
      </c>
      <c r="B722" t="s">
        <v>187</v>
      </c>
      <c r="C722" t="s">
        <v>7</v>
      </c>
      <c r="D722" t="s">
        <v>292</v>
      </c>
      <c r="E722">
        <v>1</v>
      </c>
      <c r="F722">
        <v>0</v>
      </c>
      <c r="G722">
        <v>0</v>
      </c>
      <c r="H722" t="s">
        <v>297</v>
      </c>
      <c r="I722">
        <v>5</v>
      </c>
      <c r="J722">
        <v>0</v>
      </c>
      <c r="K722">
        <v>2</v>
      </c>
      <c r="L722">
        <v>0</v>
      </c>
      <c r="M722">
        <v>0</v>
      </c>
      <c r="N722">
        <v>3</v>
      </c>
      <c r="O722">
        <v>5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 t="s">
        <v>119</v>
      </c>
    </row>
    <row r="723" spans="1:25" x14ac:dyDescent="0.35">
      <c r="A723">
        <v>3800</v>
      </c>
      <c r="B723" t="s">
        <v>187</v>
      </c>
      <c r="C723" t="s">
        <v>7</v>
      </c>
      <c r="D723" t="s">
        <v>292</v>
      </c>
      <c r="E723">
        <v>0</v>
      </c>
      <c r="F723">
        <v>0</v>
      </c>
      <c r="G723">
        <v>0</v>
      </c>
      <c r="H723" t="s">
        <v>297</v>
      </c>
      <c r="I723">
        <v>6</v>
      </c>
      <c r="J723">
        <v>0</v>
      </c>
      <c r="K723">
        <v>0</v>
      </c>
      <c r="L723">
        <v>0</v>
      </c>
      <c r="M723">
        <v>0</v>
      </c>
      <c r="N723">
        <v>2</v>
      </c>
      <c r="O723">
        <v>6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2</v>
      </c>
      <c r="V723">
        <v>0</v>
      </c>
      <c r="W723">
        <v>0</v>
      </c>
      <c r="X723">
        <v>0</v>
      </c>
      <c r="Y723" t="s">
        <v>119</v>
      </c>
    </row>
    <row r="724" spans="1:25" x14ac:dyDescent="0.35">
      <c r="A724">
        <v>3080</v>
      </c>
      <c r="B724" t="s">
        <v>44</v>
      </c>
      <c r="C724" t="s">
        <v>3</v>
      </c>
      <c r="D724" t="s">
        <v>207</v>
      </c>
      <c r="E724">
        <v>0</v>
      </c>
      <c r="F724">
        <v>0</v>
      </c>
      <c r="G724">
        <v>0</v>
      </c>
      <c r="H724" t="s">
        <v>297</v>
      </c>
      <c r="I724">
        <v>10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10</v>
      </c>
      <c r="T724">
        <v>0</v>
      </c>
      <c r="U724">
        <v>0</v>
      </c>
      <c r="V724">
        <v>0</v>
      </c>
      <c r="W724">
        <v>0</v>
      </c>
      <c r="X724">
        <v>0</v>
      </c>
      <c r="Y724" t="s">
        <v>3</v>
      </c>
    </row>
    <row r="725" spans="1:25" x14ac:dyDescent="0.35">
      <c r="A725">
        <v>3088</v>
      </c>
      <c r="B725" t="s">
        <v>44</v>
      </c>
      <c r="C725" t="s">
        <v>3</v>
      </c>
      <c r="D725" t="s">
        <v>207</v>
      </c>
      <c r="E725">
        <v>1</v>
      </c>
      <c r="F725">
        <v>0</v>
      </c>
      <c r="G725">
        <v>0</v>
      </c>
      <c r="H725" t="s">
        <v>297</v>
      </c>
      <c r="I725">
        <v>10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10</v>
      </c>
      <c r="T725">
        <v>0</v>
      </c>
      <c r="U725">
        <v>0</v>
      </c>
      <c r="V725">
        <v>0</v>
      </c>
      <c r="W725">
        <v>0</v>
      </c>
      <c r="X725">
        <v>0</v>
      </c>
      <c r="Y725" t="s">
        <v>3</v>
      </c>
    </row>
    <row r="726" spans="1:25" x14ac:dyDescent="0.35">
      <c r="A726">
        <v>3089</v>
      </c>
      <c r="B726" t="s">
        <v>44</v>
      </c>
      <c r="C726" t="s">
        <v>3</v>
      </c>
      <c r="D726" t="s">
        <v>207</v>
      </c>
      <c r="E726">
        <v>0</v>
      </c>
      <c r="F726">
        <v>0</v>
      </c>
      <c r="G726">
        <v>1</v>
      </c>
      <c r="H726" t="s">
        <v>297</v>
      </c>
      <c r="I726">
        <v>7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2</v>
      </c>
      <c r="P726">
        <v>0</v>
      </c>
      <c r="Q726">
        <v>0</v>
      </c>
      <c r="R726">
        <v>0</v>
      </c>
      <c r="S726">
        <v>7</v>
      </c>
      <c r="T726">
        <v>0</v>
      </c>
      <c r="U726">
        <v>0</v>
      </c>
      <c r="V726">
        <v>0</v>
      </c>
      <c r="W726">
        <v>0</v>
      </c>
      <c r="X726">
        <v>1</v>
      </c>
      <c r="Y726" t="s">
        <v>3</v>
      </c>
    </row>
    <row r="727" spans="1:25" x14ac:dyDescent="0.35">
      <c r="A727">
        <v>3151</v>
      </c>
      <c r="B727" t="s">
        <v>44</v>
      </c>
      <c r="C727" t="s">
        <v>3</v>
      </c>
      <c r="D727" t="s">
        <v>207</v>
      </c>
      <c r="E727">
        <v>0</v>
      </c>
      <c r="F727">
        <v>0</v>
      </c>
      <c r="G727">
        <v>0</v>
      </c>
      <c r="H727" t="s">
        <v>297</v>
      </c>
      <c r="I727">
        <v>7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1</v>
      </c>
      <c r="Q727">
        <v>0</v>
      </c>
      <c r="R727">
        <v>0</v>
      </c>
      <c r="S727">
        <v>7</v>
      </c>
      <c r="T727">
        <v>0</v>
      </c>
      <c r="U727">
        <v>2</v>
      </c>
      <c r="V727">
        <v>0</v>
      </c>
      <c r="W727">
        <v>0</v>
      </c>
      <c r="X727">
        <v>0</v>
      </c>
      <c r="Y727" t="s">
        <v>3</v>
      </c>
    </row>
    <row r="728" spans="1:25" x14ac:dyDescent="0.35">
      <c r="A728">
        <v>3219</v>
      </c>
      <c r="B728" t="s">
        <v>44</v>
      </c>
      <c r="C728" t="s">
        <v>3</v>
      </c>
      <c r="D728" t="s">
        <v>207</v>
      </c>
      <c r="E728">
        <v>0</v>
      </c>
      <c r="F728">
        <v>0</v>
      </c>
      <c r="G728">
        <v>0</v>
      </c>
      <c r="H728" t="s">
        <v>297</v>
      </c>
      <c r="I728">
        <v>5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0</v>
      </c>
      <c r="P728">
        <v>0</v>
      </c>
      <c r="Q728">
        <v>4</v>
      </c>
      <c r="R728">
        <v>0</v>
      </c>
      <c r="S728">
        <v>5</v>
      </c>
      <c r="T728">
        <v>0</v>
      </c>
      <c r="U728">
        <v>0</v>
      </c>
      <c r="V728">
        <v>0</v>
      </c>
      <c r="W728">
        <v>0</v>
      </c>
      <c r="X728">
        <v>0</v>
      </c>
      <c r="Y728" t="s">
        <v>3</v>
      </c>
    </row>
    <row r="729" spans="1:25" x14ac:dyDescent="0.35">
      <c r="A729">
        <v>3221</v>
      </c>
      <c r="B729" t="s">
        <v>44</v>
      </c>
      <c r="C729" t="s">
        <v>3</v>
      </c>
      <c r="D729" t="s">
        <v>207</v>
      </c>
      <c r="E729">
        <v>0</v>
      </c>
      <c r="F729">
        <v>0</v>
      </c>
      <c r="G729">
        <v>1</v>
      </c>
      <c r="H729" t="s">
        <v>297</v>
      </c>
      <c r="I729">
        <v>5</v>
      </c>
      <c r="J729">
        <v>0</v>
      </c>
      <c r="K729">
        <v>0</v>
      </c>
      <c r="L729">
        <v>0</v>
      </c>
      <c r="M729">
        <v>0</v>
      </c>
      <c r="N729">
        <v>1</v>
      </c>
      <c r="O729">
        <v>4</v>
      </c>
      <c r="P729">
        <v>0</v>
      </c>
      <c r="Q729">
        <v>0</v>
      </c>
      <c r="R729">
        <v>0</v>
      </c>
      <c r="S729">
        <v>5</v>
      </c>
      <c r="T729">
        <v>0</v>
      </c>
      <c r="U729">
        <v>0</v>
      </c>
      <c r="V729">
        <v>0</v>
      </c>
      <c r="W729">
        <v>0</v>
      </c>
      <c r="X729">
        <v>0</v>
      </c>
      <c r="Y729" t="s">
        <v>3</v>
      </c>
    </row>
    <row r="730" spans="1:25" x14ac:dyDescent="0.35">
      <c r="A730">
        <v>3294</v>
      </c>
      <c r="B730" t="s">
        <v>44</v>
      </c>
      <c r="C730" t="s">
        <v>3</v>
      </c>
      <c r="D730" t="s">
        <v>207</v>
      </c>
      <c r="E730">
        <v>0</v>
      </c>
      <c r="F730">
        <v>0</v>
      </c>
      <c r="G730">
        <v>1</v>
      </c>
      <c r="H730" t="s">
        <v>297</v>
      </c>
      <c r="I730">
        <v>8</v>
      </c>
      <c r="J730">
        <v>0</v>
      </c>
      <c r="K730">
        <v>0</v>
      </c>
      <c r="L730">
        <v>0</v>
      </c>
      <c r="M730">
        <v>0</v>
      </c>
      <c r="N730">
        <v>1</v>
      </c>
      <c r="O730">
        <v>1</v>
      </c>
      <c r="P730">
        <v>0</v>
      </c>
      <c r="Q730">
        <v>0</v>
      </c>
      <c r="R730">
        <v>0</v>
      </c>
      <c r="S730">
        <v>8</v>
      </c>
      <c r="T730">
        <v>0</v>
      </c>
      <c r="U730">
        <v>0</v>
      </c>
      <c r="V730">
        <v>0</v>
      </c>
      <c r="W730">
        <v>0</v>
      </c>
      <c r="X730">
        <v>0</v>
      </c>
      <c r="Y730" t="s">
        <v>3</v>
      </c>
    </row>
    <row r="731" spans="1:25" x14ac:dyDescent="0.35">
      <c r="A731">
        <v>3302</v>
      </c>
      <c r="B731" t="s">
        <v>44</v>
      </c>
      <c r="C731" t="s">
        <v>3</v>
      </c>
      <c r="D731" t="s">
        <v>207</v>
      </c>
      <c r="E731">
        <v>0</v>
      </c>
      <c r="F731">
        <v>0</v>
      </c>
      <c r="G731">
        <v>0</v>
      </c>
      <c r="H731" t="s">
        <v>297</v>
      </c>
      <c r="I731">
        <v>7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2</v>
      </c>
      <c r="P731">
        <v>0</v>
      </c>
      <c r="Q731">
        <v>0</v>
      </c>
      <c r="R731">
        <v>0</v>
      </c>
      <c r="S731">
        <v>7</v>
      </c>
      <c r="T731">
        <v>0</v>
      </c>
      <c r="U731">
        <v>1</v>
      </c>
      <c r="V731">
        <v>0</v>
      </c>
      <c r="W731">
        <v>0</v>
      </c>
      <c r="X731">
        <v>0</v>
      </c>
      <c r="Y731" t="s">
        <v>3</v>
      </c>
    </row>
    <row r="732" spans="1:25" x14ac:dyDescent="0.35">
      <c r="A732">
        <v>3305</v>
      </c>
      <c r="B732" t="s">
        <v>44</v>
      </c>
      <c r="C732" t="s">
        <v>3</v>
      </c>
      <c r="D732" t="s">
        <v>207</v>
      </c>
      <c r="E732">
        <v>0</v>
      </c>
      <c r="F732">
        <v>0</v>
      </c>
      <c r="G732">
        <v>0</v>
      </c>
      <c r="H732" t="s">
        <v>297</v>
      </c>
      <c r="I732">
        <v>6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3</v>
      </c>
      <c r="P732">
        <v>0</v>
      </c>
      <c r="Q732">
        <v>1</v>
      </c>
      <c r="R732">
        <v>0</v>
      </c>
      <c r="S732">
        <v>6</v>
      </c>
      <c r="T732">
        <v>0</v>
      </c>
      <c r="U732">
        <v>0</v>
      </c>
      <c r="V732">
        <v>0</v>
      </c>
      <c r="W732">
        <v>0</v>
      </c>
      <c r="X732">
        <v>0</v>
      </c>
      <c r="Y732" t="s">
        <v>3</v>
      </c>
    </row>
    <row r="733" spans="1:25" x14ac:dyDescent="0.35">
      <c r="A733">
        <v>3437</v>
      </c>
      <c r="B733" t="s">
        <v>44</v>
      </c>
      <c r="C733" t="s">
        <v>3</v>
      </c>
      <c r="D733" t="s">
        <v>207</v>
      </c>
      <c r="E733">
        <v>0</v>
      </c>
      <c r="F733">
        <v>0</v>
      </c>
      <c r="G733">
        <v>0</v>
      </c>
      <c r="H733" t="s">
        <v>297</v>
      </c>
      <c r="I733">
        <v>5</v>
      </c>
      <c r="J733">
        <v>0</v>
      </c>
      <c r="K733">
        <v>0</v>
      </c>
      <c r="L733">
        <v>1</v>
      </c>
      <c r="M733">
        <v>0</v>
      </c>
      <c r="N733">
        <v>0</v>
      </c>
      <c r="O733">
        <v>0</v>
      </c>
      <c r="P733">
        <v>0</v>
      </c>
      <c r="Q733">
        <v>4</v>
      </c>
      <c r="R733">
        <v>0</v>
      </c>
      <c r="S733">
        <v>5</v>
      </c>
      <c r="T733">
        <v>0</v>
      </c>
      <c r="U733">
        <v>0</v>
      </c>
      <c r="V733">
        <v>0</v>
      </c>
      <c r="W733">
        <v>0</v>
      </c>
      <c r="X733">
        <v>0</v>
      </c>
      <c r="Y733" t="s">
        <v>3</v>
      </c>
    </row>
    <row r="734" spans="1:25" x14ac:dyDescent="0.35">
      <c r="A734">
        <v>3510</v>
      </c>
      <c r="B734" t="s">
        <v>44</v>
      </c>
      <c r="C734" t="s">
        <v>13</v>
      </c>
      <c r="D734" t="s">
        <v>207</v>
      </c>
      <c r="E734">
        <v>1</v>
      </c>
      <c r="F734">
        <v>0</v>
      </c>
      <c r="G734">
        <v>0</v>
      </c>
      <c r="H734" t="s">
        <v>297</v>
      </c>
      <c r="I734">
        <v>10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10</v>
      </c>
      <c r="Y734" t="s">
        <v>3</v>
      </c>
    </row>
    <row r="735" spans="1:25" x14ac:dyDescent="0.35">
      <c r="A735">
        <v>3654</v>
      </c>
      <c r="B735" t="s">
        <v>44</v>
      </c>
      <c r="C735" t="s">
        <v>3</v>
      </c>
      <c r="D735" t="s">
        <v>207</v>
      </c>
      <c r="E735">
        <v>0</v>
      </c>
      <c r="F735">
        <v>0</v>
      </c>
      <c r="G735">
        <v>0</v>
      </c>
      <c r="H735" t="s">
        <v>297</v>
      </c>
      <c r="I735">
        <v>6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1</v>
      </c>
      <c r="R735">
        <v>0</v>
      </c>
      <c r="S735">
        <v>6</v>
      </c>
      <c r="T735">
        <v>3</v>
      </c>
      <c r="U735">
        <v>0</v>
      </c>
      <c r="V735">
        <v>0</v>
      </c>
      <c r="W735">
        <v>0</v>
      </c>
      <c r="X735">
        <v>0</v>
      </c>
      <c r="Y735" t="s">
        <v>3</v>
      </c>
    </row>
    <row r="736" spans="1:25" x14ac:dyDescent="0.35">
      <c r="A736">
        <v>3773</v>
      </c>
      <c r="B736" t="s">
        <v>44</v>
      </c>
      <c r="C736" t="s">
        <v>3</v>
      </c>
      <c r="D736" t="s">
        <v>207</v>
      </c>
      <c r="E736">
        <v>1</v>
      </c>
      <c r="F736">
        <v>0</v>
      </c>
      <c r="G736">
        <v>0</v>
      </c>
      <c r="H736" t="s">
        <v>297</v>
      </c>
      <c r="I736">
        <v>7</v>
      </c>
      <c r="J736">
        <v>0</v>
      </c>
      <c r="K736">
        <v>0</v>
      </c>
      <c r="L736">
        <v>0</v>
      </c>
      <c r="M736">
        <v>2</v>
      </c>
      <c r="N736">
        <v>0</v>
      </c>
      <c r="O736">
        <v>0</v>
      </c>
      <c r="P736">
        <v>0</v>
      </c>
      <c r="Q736">
        <v>1</v>
      </c>
      <c r="R736">
        <v>0</v>
      </c>
      <c r="S736">
        <v>7</v>
      </c>
      <c r="T736">
        <v>0</v>
      </c>
      <c r="U736">
        <v>0</v>
      </c>
      <c r="V736">
        <v>0</v>
      </c>
      <c r="W736">
        <v>0</v>
      </c>
      <c r="X736">
        <v>0</v>
      </c>
      <c r="Y736" t="s">
        <v>3</v>
      </c>
    </row>
    <row r="737" spans="1:25" x14ac:dyDescent="0.35">
      <c r="A737">
        <v>3778</v>
      </c>
      <c r="B737" t="s">
        <v>44</v>
      </c>
      <c r="C737" t="s">
        <v>3</v>
      </c>
      <c r="D737" t="s">
        <v>207</v>
      </c>
      <c r="E737">
        <v>1</v>
      </c>
      <c r="F737">
        <v>0</v>
      </c>
      <c r="G737">
        <v>0</v>
      </c>
      <c r="H737" t="s">
        <v>297</v>
      </c>
      <c r="I737">
        <v>7</v>
      </c>
      <c r="J737">
        <v>0</v>
      </c>
      <c r="K737">
        <v>0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7</v>
      </c>
      <c r="T737">
        <v>2</v>
      </c>
      <c r="U737">
        <v>0</v>
      </c>
      <c r="V737">
        <v>0</v>
      </c>
      <c r="W737">
        <v>0</v>
      </c>
      <c r="X737">
        <v>0</v>
      </c>
      <c r="Y737" t="s">
        <v>3</v>
      </c>
    </row>
    <row r="738" spans="1:25" x14ac:dyDescent="0.35">
      <c r="A738">
        <v>3779</v>
      </c>
      <c r="B738" t="s">
        <v>44</v>
      </c>
      <c r="C738" t="s">
        <v>3</v>
      </c>
      <c r="D738" t="s">
        <v>207</v>
      </c>
      <c r="E738">
        <v>1</v>
      </c>
      <c r="F738">
        <v>0</v>
      </c>
      <c r="G738">
        <v>0</v>
      </c>
      <c r="H738" t="s">
        <v>297</v>
      </c>
      <c r="I738">
        <v>7</v>
      </c>
      <c r="J738">
        <v>0</v>
      </c>
      <c r="K738">
        <v>0</v>
      </c>
      <c r="L738">
        <v>0</v>
      </c>
      <c r="M738">
        <v>0</v>
      </c>
      <c r="N738">
        <v>2</v>
      </c>
      <c r="O738">
        <v>0</v>
      </c>
      <c r="P738">
        <v>0</v>
      </c>
      <c r="Q738">
        <v>0</v>
      </c>
      <c r="R738">
        <v>0</v>
      </c>
      <c r="S738">
        <v>7</v>
      </c>
      <c r="T738">
        <v>0</v>
      </c>
      <c r="U738">
        <v>0</v>
      </c>
      <c r="V738">
        <v>0</v>
      </c>
      <c r="W738">
        <v>0</v>
      </c>
      <c r="X738">
        <v>1</v>
      </c>
      <c r="Y738" t="s">
        <v>3</v>
      </c>
    </row>
    <row r="739" spans="1:25" x14ac:dyDescent="0.35">
      <c r="A739">
        <v>3160</v>
      </c>
      <c r="B739" t="s">
        <v>176</v>
      </c>
      <c r="C739" t="s">
        <v>3</v>
      </c>
      <c r="D739" t="s">
        <v>207</v>
      </c>
      <c r="E739">
        <v>0</v>
      </c>
      <c r="F739">
        <v>0</v>
      </c>
      <c r="G739">
        <v>0</v>
      </c>
      <c r="H739" t="s">
        <v>297</v>
      </c>
      <c r="I739">
        <v>5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2</v>
      </c>
      <c r="P739">
        <v>0</v>
      </c>
      <c r="Q739">
        <v>3</v>
      </c>
      <c r="R739">
        <v>0</v>
      </c>
      <c r="S739">
        <v>5</v>
      </c>
      <c r="T739">
        <v>0</v>
      </c>
      <c r="U739">
        <v>0</v>
      </c>
      <c r="V739">
        <v>0</v>
      </c>
      <c r="W739">
        <v>0</v>
      </c>
      <c r="X739">
        <v>0</v>
      </c>
      <c r="Y739" t="s">
        <v>4</v>
      </c>
    </row>
    <row r="740" spans="1:25" x14ac:dyDescent="0.35">
      <c r="A740">
        <v>3217</v>
      </c>
      <c r="B740" t="s">
        <v>176</v>
      </c>
      <c r="C740" t="s">
        <v>3</v>
      </c>
      <c r="D740" t="s">
        <v>207</v>
      </c>
      <c r="E740">
        <v>0</v>
      </c>
      <c r="F740">
        <v>0</v>
      </c>
      <c r="G740">
        <v>0</v>
      </c>
      <c r="H740" t="s">
        <v>297</v>
      </c>
      <c r="I740">
        <v>6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2</v>
      </c>
      <c r="P740">
        <v>2</v>
      </c>
      <c r="Q740">
        <v>0</v>
      </c>
      <c r="R740">
        <v>0</v>
      </c>
      <c r="S740">
        <v>6</v>
      </c>
      <c r="T740">
        <v>0</v>
      </c>
      <c r="U740">
        <v>0</v>
      </c>
      <c r="V740">
        <v>0</v>
      </c>
      <c r="W740">
        <v>0</v>
      </c>
      <c r="X740">
        <v>0</v>
      </c>
      <c r="Y740" t="s">
        <v>4</v>
      </c>
    </row>
    <row r="741" spans="1:25" x14ac:dyDescent="0.35">
      <c r="A741">
        <v>3295</v>
      </c>
      <c r="B741" t="s">
        <v>176</v>
      </c>
      <c r="C741" t="s">
        <v>3</v>
      </c>
      <c r="D741" t="s">
        <v>207</v>
      </c>
      <c r="E741">
        <v>0</v>
      </c>
      <c r="F741">
        <v>0</v>
      </c>
      <c r="G741">
        <v>1</v>
      </c>
      <c r="H741" t="s">
        <v>297</v>
      </c>
      <c r="I741">
        <v>5</v>
      </c>
      <c r="J741">
        <v>0</v>
      </c>
      <c r="K741">
        <v>0</v>
      </c>
      <c r="L741">
        <v>0</v>
      </c>
      <c r="M741">
        <v>0</v>
      </c>
      <c r="N741">
        <v>2</v>
      </c>
      <c r="O741">
        <v>3</v>
      </c>
      <c r="P741">
        <v>0</v>
      </c>
      <c r="Q741">
        <v>0</v>
      </c>
      <c r="R741">
        <v>0</v>
      </c>
      <c r="S741">
        <v>5</v>
      </c>
      <c r="T741">
        <v>0</v>
      </c>
      <c r="U741">
        <v>0</v>
      </c>
      <c r="V741">
        <v>0</v>
      </c>
      <c r="W741">
        <v>0</v>
      </c>
      <c r="X741">
        <v>0</v>
      </c>
      <c r="Y741" t="s">
        <v>4</v>
      </c>
    </row>
    <row r="742" spans="1:25" x14ac:dyDescent="0.35">
      <c r="A742">
        <v>3484</v>
      </c>
      <c r="B742" t="s">
        <v>176</v>
      </c>
      <c r="C742" t="s">
        <v>3</v>
      </c>
      <c r="D742" t="s">
        <v>207</v>
      </c>
      <c r="E742">
        <v>0</v>
      </c>
      <c r="F742">
        <v>1</v>
      </c>
      <c r="G742">
        <v>0</v>
      </c>
      <c r="H742" t="s">
        <v>297</v>
      </c>
      <c r="I742">
        <v>6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4</v>
      </c>
      <c r="P742">
        <v>0</v>
      </c>
      <c r="Q742">
        <v>0</v>
      </c>
      <c r="R742">
        <v>0</v>
      </c>
      <c r="S742">
        <v>6</v>
      </c>
      <c r="T742">
        <v>0</v>
      </c>
      <c r="U742">
        <v>0</v>
      </c>
      <c r="V742">
        <v>0</v>
      </c>
      <c r="W742">
        <v>0</v>
      </c>
      <c r="X742">
        <v>0</v>
      </c>
      <c r="Y742" t="s">
        <v>4</v>
      </c>
    </row>
    <row r="743" spans="1:25" x14ac:dyDescent="0.35">
      <c r="A743">
        <v>3488</v>
      </c>
      <c r="B743" t="s">
        <v>176</v>
      </c>
      <c r="C743" t="s">
        <v>3</v>
      </c>
      <c r="D743" t="s">
        <v>207</v>
      </c>
      <c r="E743">
        <v>0</v>
      </c>
      <c r="F743">
        <v>1</v>
      </c>
      <c r="G743">
        <v>0</v>
      </c>
      <c r="H743" t="s">
        <v>297</v>
      </c>
      <c r="I743">
        <v>8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1</v>
      </c>
      <c r="Q743">
        <v>0</v>
      </c>
      <c r="R743">
        <v>0</v>
      </c>
      <c r="S743">
        <v>8</v>
      </c>
      <c r="T743">
        <v>0</v>
      </c>
      <c r="U743">
        <v>0</v>
      </c>
      <c r="V743">
        <v>0</v>
      </c>
      <c r="W743">
        <v>1</v>
      </c>
      <c r="X743">
        <v>0</v>
      </c>
      <c r="Y743" t="s">
        <v>4</v>
      </c>
    </row>
    <row r="744" spans="1:25" x14ac:dyDescent="0.35">
      <c r="A744">
        <v>3532</v>
      </c>
      <c r="B744" t="s">
        <v>176</v>
      </c>
      <c r="C744" t="s">
        <v>4</v>
      </c>
      <c r="D744" t="s">
        <v>207</v>
      </c>
      <c r="E744">
        <v>1</v>
      </c>
      <c r="F744">
        <v>0</v>
      </c>
      <c r="G744">
        <v>0</v>
      </c>
      <c r="H744" t="s">
        <v>297</v>
      </c>
      <c r="I744">
        <v>8</v>
      </c>
      <c r="J744">
        <v>0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1</v>
      </c>
      <c r="T744">
        <v>8</v>
      </c>
      <c r="U744">
        <v>0</v>
      </c>
      <c r="V744">
        <v>0</v>
      </c>
      <c r="W744">
        <v>0</v>
      </c>
      <c r="X744">
        <v>0</v>
      </c>
      <c r="Y744" t="s">
        <v>4</v>
      </c>
    </row>
    <row r="745" spans="1:25" x14ac:dyDescent="0.35">
      <c r="A745">
        <v>3536</v>
      </c>
      <c r="B745" t="s">
        <v>176</v>
      </c>
      <c r="C745" t="s">
        <v>4</v>
      </c>
      <c r="D745" t="s">
        <v>207</v>
      </c>
      <c r="E745">
        <v>1</v>
      </c>
      <c r="F745">
        <v>0</v>
      </c>
      <c r="G745">
        <v>1</v>
      </c>
      <c r="H745" t="s">
        <v>297</v>
      </c>
      <c r="I745">
        <v>5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2</v>
      </c>
      <c r="S745">
        <v>3</v>
      </c>
      <c r="T745">
        <v>5</v>
      </c>
      <c r="U745">
        <v>0</v>
      </c>
      <c r="V745">
        <v>0</v>
      </c>
      <c r="W745">
        <v>0</v>
      </c>
      <c r="X745">
        <v>0</v>
      </c>
      <c r="Y745" t="s">
        <v>4</v>
      </c>
    </row>
    <row r="746" spans="1:25" x14ac:dyDescent="0.35">
      <c r="A746">
        <v>3540</v>
      </c>
      <c r="B746" t="s">
        <v>176</v>
      </c>
      <c r="C746" t="s">
        <v>4</v>
      </c>
      <c r="D746" t="s">
        <v>207</v>
      </c>
      <c r="E746">
        <v>1</v>
      </c>
      <c r="F746">
        <v>0</v>
      </c>
      <c r="G746">
        <v>0</v>
      </c>
      <c r="H746" t="s">
        <v>297</v>
      </c>
      <c r="I746">
        <v>6</v>
      </c>
      <c r="J746">
        <v>0</v>
      </c>
      <c r="K746">
        <v>0</v>
      </c>
      <c r="L746">
        <v>0</v>
      </c>
      <c r="M746">
        <v>3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6</v>
      </c>
      <c r="U746">
        <v>0</v>
      </c>
      <c r="V746">
        <v>0</v>
      </c>
      <c r="W746">
        <v>0</v>
      </c>
      <c r="X746">
        <v>1</v>
      </c>
      <c r="Y746" t="s">
        <v>4</v>
      </c>
    </row>
    <row r="747" spans="1:25" x14ac:dyDescent="0.35">
      <c r="A747">
        <v>3541</v>
      </c>
      <c r="B747" t="s">
        <v>176</v>
      </c>
      <c r="C747" t="s">
        <v>4</v>
      </c>
      <c r="D747" t="s">
        <v>207</v>
      </c>
      <c r="E747">
        <v>0</v>
      </c>
      <c r="F747">
        <v>1</v>
      </c>
      <c r="G747">
        <v>0</v>
      </c>
      <c r="H747" t="s">
        <v>297</v>
      </c>
      <c r="I747">
        <v>6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2</v>
      </c>
      <c r="T747">
        <v>6</v>
      </c>
      <c r="U747">
        <v>2</v>
      </c>
      <c r="V747">
        <v>0</v>
      </c>
      <c r="W747">
        <v>0</v>
      </c>
      <c r="X747">
        <v>0</v>
      </c>
      <c r="Y747" t="s">
        <v>4</v>
      </c>
    </row>
    <row r="748" spans="1:25" x14ac:dyDescent="0.35">
      <c r="A748">
        <v>3542</v>
      </c>
      <c r="B748" t="s">
        <v>176</v>
      </c>
      <c r="C748" t="s">
        <v>4</v>
      </c>
      <c r="D748" t="s">
        <v>207</v>
      </c>
      <c r="E748">
        <v>1</v>
      </c>
      <c r="F748">
        <v>0</v>
      </c>
      <c r="G748">
        <v>0</v>
      </c>
      <c r="H748" t="s">
        <v>297</v>
      </c>
      <c r="I748">
        <v>6</v>
      </c>
      <c r="J748">
        <v>0</v>
      </c>
      <c r="K748">
        <v>0</v>
      </c>
      <c r="L748">
        <v>0</v>
      </c>
      <c r="M748">
        <v>3</v>
      </c>
      <c r="N748">
        <v>0</v>
      </c>
      <c r="O748">
        <v>0</v>
      </c>
      <c r="P748">
        <v>0</v>
      </c>
      <c r="Q748">
        <v>1</v>
      </c>
      <c r="R748">
        <v>0</v>
      </c>
      <c r="S748">
        <v>0</v>
      </c>
      <c r="T748">
        <v>6</v>
      </c>
      <c r="U748">
        <v>0</v>
      </c>
      <c r="V748">
        <v>0</v>
      </c>
      <c r="W748">
        <v>0</v>
      </c>
      <c r="X748">
        <v>0</v>
      </c>
      <c r="Y748" t="s">
        <v>4</v>
      </c>
    </row>
    <row r="749" spans="1:25" x14ac:dyDescent="0.35">
      <c r="A749">
        <v>3623</v>
      </c>
      <c r="B749" t="s">
        <v>176</v>
      </c>
      <c r="C749" t="s">
        <v>3</v>
      </c>
      <c r="D749" t="s">
        <v>207</v>
      </c>
      <c r="E749">
        <v>0</v>
      </c>
      <c r="F749">
        <v>0</v>
      </c>
      <c r="G749">
        <v>0</v>
      </c>
      <c r="H749" t="s">
        <v>297</v>
      </c>
      <c r="I749">
        <v>5</v>
      </c>
      <c r="J749">
        <v>4</v>
      </c>
      <c r="K749">
        <v>0</v>
      </c>
      <c r="L749">
        <v>0</v>
      </c>
      <c r="M749">
        <v>0</v>
      </c>
      <c r="N749">
        <v>1</v>
      </c>
      <c r="O749">
        <v>0</v>
      </c>
      <c r="P749">
        <v>0</v>
      </c>
      <c r="Q749">
        <v>0</v>
      </c>
      <c r="R749">
        <v>0</v>
      </c>
      <c r="S749">
        <v>5</v>
      </c>
      <c r="T749">
        <v>0</v>
      </c>
      <c r="U749">
        <v>0</v>
      </c>
      <c r="V749">
        <v>0</v>
      </c>
      <c r="W749">
        <v>0</v>
      </c>
      <c r="X749">
        <v>0</v>
      </c>
      <c r="Y749" t="s">
        <v>4</v>
      </c>
    </row>
    <row r="750" spans="1:25" x14ac:dyDescent="0.35">
      <c r="A750">
        <v>3624</v>
      </c>
      <c r="B750" t="s">
        <v>176</v>
      </c>
      <c r="C750" t="s">
        <v>3</v>
      </c>
      <c r="D750" t="s">
        <v>207</v>
      </c>
      <c r="E750">
        <v>0</v>
      </c>
      <c r="F750">
        <v>0</v>
      </c>
      <c r="G750">
        <v>0</v>
      </c>
      <c r="H750" t="s">
        <v>297</v>
      </c>
      <c r="I750">
        <v>6</v>
      </c>
      <c r="J750">
        <v>0</v>
      </c>
      <c r="K750">
        <v>3</v>
      </c>
      <c r="L750">
        <v>0</v>
      </c>
      <c r="M750">
        <v>0</v>
      </c>
      <c r="N750">
        <v>1</v>
      </c>
      <c r="O750">
        <v>0</v>
      </c>
      <c r="P750">
        <v>0</v>
      </c>
      <c r="Q750">
        <v>0</v>
      </c>
      <c r="R750">
        <v>0</v>
      </c>
      <c r="S750">
        <v>6</v>
      </c>
      <c r="T750">
        <v>0</v>
      </c>
      <c r="U750">
        <v>0</v>
      </c>
      <c r="V750">
        <v>0</v>
      </c>
      <c r="W750">
        <v>0</v>
      </c>
      <c r="X750">
        <v>0</v>
      </c>
      <c r="Y750" t="s">
        <v>4</v>
      </c>
    </row>
    <row r="751" spans="1:25" x14ac:dyDescent="0.35">
      <c r="A751">
        <v>3656</v>
      </c>
      <c r="B751" t="s">
        <v>176</v>
      </c>
      <c r="C751" t="s">
        <v>4</v>
      </c>
      <c r="D751" t="s">
        <v>207</v>
      </c>
      <c r="E751">
        <v>1</v>
      </c>
      <c r="F751">
        <v>0</v>
      </c>
      <c r="G751">
        <v>0</v>
      </c>
      <c r="H751" t="s">
        <v>297</v>
      </c>
      <c r="I751">
        <v>5</v>
      </c>
      <c r="J751">
        <v>0</v>
      </c>
      <c r="K751">
        <v>0</v>
      </c>
      <c r="L751">
        <v>0</v>
      </c>
      <c r="M751">
        <v>0</v>
      </c>
      <c r="N751">
        <v>2</v>
      </c>
      <c r="O751">
        <v>0</v>
      </c>
      <c r="P751">
        <v>0</v>
      </c>
      <c r="Q751">
        <v>0</v>
      </c>
      <c r="R751">
        <v>0</v>
      </c>
      <c r="S751">
        <v>3</v>
      </c>
      <c r="T751">
        <v>5</v>
      </c>
      <c r="U751">
        <v>0</v>
      </c>
      <c r="V751">
        <v>0</v>
      </c>
      <c r="W751">
        <v>0</v>
      </c>
      <c r="X751">
        <v>0</v>
      </c>
      <c r="Y751" t="s">
        <v>4</v>
      </c>
    </row>
    <row r="752" spans="1:25" x14ac:dyDescent="0.35">
      <c r="A752">
        <v>3660</v>
      </c>
      <c r="B752" t="s">
        <v>176</v>
      </c>
      <c r="C752" t="s">
        <v>3</v>
      </c>
      <c r="D752" t="s">
        <v>207</v>
      </c>
      <c r="E752">
        <v>1</v>
      </c>
      <c r="F752">
        <v>0</v>
      </c>
      <c r="G752">
        <v>0</v>
      </c>
      <c r="H752" t="s">
        <v>297</v>
      </c>
      <c r="I752">
        <v>7</v>
      </c>
      <c r="J752">
        <v>0</v>
      </c>
      <c r="K752">
        <v>0</v>
      </c>
      <c r="L752">
        <v>0</v>
      </c>
      <c r="M752">
        <v>0</v>
      </c>
      <c r="N752">
        <v>1</v>
      </c>
      <c r="O752">
        <v>0</v>
      </c>
      <c r="P752">
        <v>0</v>
      </c>
      <c r="Q752">
        <v>0</v>
      </c>
      <c r="R752">
        <v>0</v>
      </c>
      <c r="S752">
        <v>7</v>
      </c>
      <c r="T752">
        <v>2</v>
      </c>
      <c r="U752">
        <v>0</v>
      </c>
      <c r="V752">
        <v>0</v>
      </c>
      <c r="W752">
        <v>0</v>
      </c>
      <c r="X752">
        <v>0</v>
      </c>
      <c r="Y752" t="s">
        <v>4</v>
      </c>
    </row>
    <row r="753" spans="1:25" x14ac:dyDescent="0.35">
      <c r="A753">
        <v>3667</v>
      </c>
      <c r="B753" t="s">
        <v>176</v>
      </c>
      <c r="C753" t="s">
        <v>4</v>
      </c>
      <c r="D753" t="s">
        <v>207</v>
      </c>
      <c r="E753">
        <v>0</v>
      </c>
      <c r="F753">
        <v>0</v>
      </c>
      <c r="G753">
        <v>0</v>
      </c>
      <c r="H753" t="s">
        <v>297</v>
      </c>
      <c r="I753">
        <v>5</v>
      </c>
      <c r="J753">
        <v>0</v>
      </c>
      <c r="K753">
        <v>0</v>
      </c>
      <c r="L753">
        <v>0</v>
      </c>
      <c r="M753">
        <v>2</v>
      </c>
      <c r="N753">
        <v>0</v>
      </c>
      <c r="O753">
        <v>3</v>
      </c>
      <c r="P753">
        <v>0</v>
      </c>
      <c r="Q753">
        <v>0</v>
      </c>
      <c r="R753">
        <v>0</v>
      </c>
      <c r="S753">
        <v>0</v>
      </c>
      <c r="T753">
        <v>5</v>
      </c>
      <c r="U753">
        <v>0</v>
      </c>
      <c r="V753">
        <v>0</v>
      </c>
      <c r="W753">
        <v>0</v>
      </c>
      <c r="X753">
        <v>0</v>
      </c>
      <c r="Y753" t="s">
        <v>4</v>
      </c>
    </row>
    <row r="754" spans="1:25" x14ac:dyDescent="0.35">
      <c r="A754">
        <v>3740</v>
      </c>
      <c r="B754" t="s">
        <v>176</v>
      </c>
      <c r="C754" t="s">
        <v>4</v>
      </c>
      <c r="D754" t="s">
        <v>207</v>
      </c>
      <c r="E754">
        <v>1</v>
      </c>
      <c r="F754">
        <v>0</v>
      </c>
      <c r="G754">
        <v>0</v>
      </c>
      <c r="H754" t="s">
        <v>297</v>
      </c>
      <c r="I754">
        <v>7</v>
      </c>
      <c r="J754">
        <v>0</v>
      </c>
      <c r="K754">
        <v>2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7</v>
      </c>
      <c r="U754">
        <v>0</v>
      </c>
      <c r="V754">
        <v>0</v>
      </c>
      <c r="W754">
        <v>0</v>
      </c>
      <c r="X754">
        <v>0</v>
      </c>
      <c r="Y754" t="s">
        <v>4</v>
      </c>
    </row>
    <row r="755" spans="1:25" x14ac:dyDescent="0.35">
      <c r="A755">
        <v>3745</v>
      </c>
      <c r="B755" t="s">
        <v>176</v>
      </c>
      <c r="C755" t="s">
        <v>4</v>
      </c>
      <c r="D755" t="s">
        <v>207</v>
      </c>
      <c r="E755">
        <v>0</v>
      </c>
      <c r="F755">
        <v>0</v>
      </c>
      <c r="G755">
        <v>0</v>
      </c>
      <c r="H755" t="s">
        <v>297</v>
      </c>
      <c r="I755">
        <v>8</v>
      </c>
      <c r="J755">
        <v>0</v>
      </c>
      <c r="K755">
        <v>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1</v>
      </c>
      <c r="R755">
        <v>0</v>
      </c>
      <c r="S755">
        <v>0</v>
      </c>
      <c r="T755">
        <v>8</v>
      </c>
      <c r="U755">
        <v>0</v>
      </c>
      <c r="V755">
        <v>0</v>
      </c>
      <c r="W755">
        <v>0</v>
      </c>
      <c r="X755">
        <v>0</v>
      </c>
      <c r="Y755" t="s">
        <v>4</v>
      </c>
    </row>
    <row r="756" spans="1:25" x14ac:dyDescent="0.35">
      <c r="A756">
        <v>3749</v>
      </c>
      <c r="B756" t="s">
        <v>176</v>
      </c>
      <c r="C756" t="s">
        <v>3</v>
      </c>
      <c r="D756" t="s">
        <v>207</v>
      </c>
      <c r="E756">
        <v>0</v>
      </c>
      <c r="F756">
        <v>0</v>
      </c>
      <c r="G756">
        <v>0</v>
      </c>
      <c r="H756" t="s">
        <v>297</v>
      </c>
      <c r="I756">
        <v>7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7</v>
      </c>
      <c r="T756">
        <v>2</v>
      </c>
      <c r="U756">
        <v>0</v>
      </c>
      <c r="V756">
        <v>0</v>
      </c>
      <c r="W756">
        <v>0</v>
      </c>
      <c r="X756">
        <v>1</v>
      </c>
      <c r="Y756" t="s">
        <v>4</v>
      </c>
    </row>
    <row r="757" spans="1:25" x14ac:dyDescent="0.35">
      <c r="A757">
        <v>3828</v>
      </c>
      <c r="B757" t="s">
        <v>176</v>
      </c>
      <c r="C757" t="s">
        <v>3</v>
      </c>
      <c r="D757" t="s">
        <v>207</v>
      </c>
      <c r="E757">
        <v>0</v>
      </c>
      <c r="F757">
        <v>0</v>
      </c>
      <c r="G757">
        <v>0</v>
      </c>
      <c r="H757" t="s">
        <v>297</v>
      </c>
      <c r="I757">
        <v>6</v>
      </c>
      <c r="J757">
        <v>0</v>
      </c>
      <c r="K757">
        <v>0</v>
      </c>
      <c r="L757">
        <v>0</v>
      </c>
      <c r="M757">
        <v>2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6</v>
      </c>
      <c r="T757">
        <v>2</v>
      </c>
      <c r="U757">
        <v>0</v>
      </c>
      <c r="V757">
        <v>0</v>
      </c>
      <c r="W757">
        <v>0</v>
      </c>
      <c r="X757">
        <v>0</v>
      </c>
      <c r="Y757" t="s">
        <v>4</v>
      </c>
    </row>
    <row r="758" spans="1:25" x14ac:dyDescent="0.35">
      <c r="A758">
        <v>3834</v>
      </c>
      <c r="B758" t="s">
        <v>176</v>
      </c>
      <c r="C758" t="s">
        <v>3</v>
      </c>
      <c r="D758" t="s">
        <v>207</v>
      </c>
      <c r="E758">
        <v>0</v>
      </c>
      <c r="F758">
        <v>0</v>
      </c>
      <c r="G758">
        <v>0</v>
      </c>
      <c r="H758" t="s">
        <v>297</v>
      </c>
      <c r="I758">
        <v>5</v>
      </c>
      <c r="J758">
        <v>0</v>
      </c>
      <c r="K758">
        <v>0</v>
      </c>
      <c r="L758">
        <v>0</v>
      </c>
      <c r="M758">
        <v>3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5</v>
      </c>
      <c r="T758">
        <v>0</v>
      </c>
      <c r="U758">
        <v>0</v>
      </c>
      <c r="V758">
        <v>0</v>
      </c>
      <c r="W758">
        <v>0</v>
      </c>
      <c r="X758">
        <v>2</v>
      </c>
      <c r="Y758" t="s">
        <v>4</v>
      </c>
    </row>
    <row r="759" spans="1:25" x14ac:dyDescent="0.35">
      <c r="A759">
        <v>3066</v>
      </c>
      <c r="B759" t="s">
        <v>136</v>
      </c>
      <c r="C759" t="s">
        <v>5</v>
      </c>
      <c r="D759" t="s">
        <v>208</v>
      </c>
      <c r="E759">
        <v>0</v>
      </c>
      <c r="F759">
        <v>1</v>
      </c>
      <c r="G759">
        <v>0</v>
      </c>
      <c r="H759" t="s">
        <v>297</v>
      </c>
      <c r="I759">
        <v>5</v>
      </c>
      <c r="J759">
        <v>0</v>
      </c>
      <c r="K759">
        <v>0</v>
      </c>
      <c r="L759">
        <v>0</v>
      </c>
      <c r="M759">
        <v>0</v>
      </c>
      <c r="N759">
        <v>5</v>
      </c>
      <c r="O759">
        <v>4</v>
      </c>
      <c r="P759">
        <v>0</v>
      </c>
      <c r="Q759">
        <v>0</v>
      </c>
      <c r="R759">
        <v>1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 t="s">
        <v>12</v>
      </c>
    </row>
    <row r="760" spans="1:25" x14ac:dyDescent="0.35">
      <c r="A760">
        <v>3130</v>
      </c>
      <c r="B760" t="s">
        <v>136</v>
      </c>
      <c r="C760" t="s">
        <v>5</v>
      </c>
      <c r="D760" t="s">
        <v>208</v>
      </c>
      <c r="E760">
        <v>0</v>
      </c>
      <c r="F760">
        <v>0</v>
      </c>
      <c r="G760">
        <v>0</v>
      </c>
      <c r="H760" t="s">
        <v>297</v>
      </c>
      <c r="I760">
        <v>7</v>
      </c>
      <c r="J760">
        <v>0</v>
      </c>
      <c r="K760">
        <v>0</v>
      </c>
      <c r="L760">
        <v>0</v>
      </c>
      <c r="M760">
        <v>0</v>
      </c>
      <c r="N760">
        <v>7</v>
      </c>
      <c r="O760">
        <v>2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1</v>
      </c>
      <c r="Y760" t="s">
        <v>12</v>
      </c>
    </row>
    <row r="761" spans="1:25" x14ac:dyDescent="0.35">
      <c r="A761">
        <v>3137</v>
      </c>
      <c r="B761" t="s">
        <v>136</v>
      </c>
      <c r="C761" t="s">
        <v>5</v>
      </c>
      <c r="D761" t="s">
        <v>208</v>
      </c>
      <c r="E761">
        <v>0</v>
      </c>
      <c r="F761">
        <v>0</v>
      </c>
      <c r="G761">
        <v>1</v>
      </c>
      <c r="H761" t="s">
        <v>297</v>
      </c>
      <c r="I761">
        <v>6</v>
      </c>
      <c r="J761">
        <v>0</v>
      </c>
      <c r="K761">
        <v>0</v>
      </c>
      <c r="L761">
        <v>0</v>
      </c>
      <c r="M761">
        <v>0</v>
      </c>
      <c r="N761">
        <v>6</v>
      </c>
      <c r="O761">
        <v>2</v>
      </c>
      <c r="P761">
        <v>0</v>
      </c>
      <c r="Q761">
        <v>0</v>
      </c>
      <c r="R761">
        <v>2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 t="s">
        <v>12</v>
      </c>
    </row>
    <row r="762" spans="1:25" x14ac:dyDescent="0.35">
      <c r="A762">
        <v>3237</v>
      </c>
      <c r="B762" t="s">
        <v>136</v>
      </c>
      <c r="C762" t="s">
        <v>5</v>
      </c>
      <c r="D762" t="s">
        <v>208</v>
      </c>
      <c r="E762">
        <v>1</v>
      </c>
      <c r="F762">
        <v>0</v>
      </c>
      <c r="G762">
        <v>0</v>
      </c>
      <c r="H762" t="s">
        <v>297</v>
      </c>
      <c r="I762">
        <v>8</v>
      </c>
      <c r="J762">
        <v>0</v>
      </c>
      <c r="K762">
        <v>0</v>
      </c>
      <c r="L762">
        <v>0</v>
      </c>
      <c r="M762">
        <v>0</v>
      </c>
      <c r="N762">
        <v>8</v>
      </c>
      <c r="O762">
        <v>1</v>
      </c>
      <c r="P762">
        <v>0</v>
      </c>
      <c r="Q762">
        <v>0</v>
      </c>
      <c r="R762">
        <v>1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 t="s">
        <v>12</v>
      </c>
    </row>
    <row r="763" spans="1:25" x14ac:dyDescent="0.35">
      <c r="A763">
        <v>3240</v>
      </c>
      <c r="B763" t="s">
        <v>136</v>
      </c>
      <c r="C763" t="s">
        <v>5</v>
      </c>
      <c r="D763" t="s">
        <v>208</v>
      </c>
      <c r="E763">
        <v>1</v>
      </c>
      <c r="F763">
        <v>0</v>
      </c>
      <c r="G763">
        <v>0</v>
      </c>
      <c r="H763" t="s">
        <v>297</v>
      </c>
      <c r="I763">
        <v>7</v>
      </c>
      <c r="J763">
        <v>0</v>
      </c>
      <c r="K763">
        <v>0</v>
      </c>
      <c r="L763">
        <v>0</v>
      </c>
      <c r="M763">
        <v>0</v>
      </c>
      <c r="N763">
        <v>7</v>
      </c>
      <c r="O763">
        <v>2</v>
      </c>
      <c r="P763">
        <v>0</v>
      </c>
      <c r="Q763">
        <v>0</v>
      </c>
      <c r="R763">
        <v>1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 t="s">
        <v>12</v>
      </c>
    </row>
    <row r="764" spans="1:25" x14ac:dyDescent="0.35">
      <c r="A764">
        <v>3252</v>
      </c>
      <c r="B764" t="s">
        <v>136</v>
      </c>
      <c r="C764" t="s">
        <v>5</v>
      </c>
      <c r="D764" t="s">
        <v>208</v>
      </c>
      <c r="E764">
        <v>0</v>
      </c>
      <c r="F764">
        <v>0</v>
      </c>
      <c r="G764">
        <v>0</v>
      </c>
      <c r="H764" t="s">
        <v>297</v>
      </c>
      <c r="I764">
        <v>7</v>
      </c>
      <c r="J764">
        <v>0</v>
      </c>
      <c r="K764">
        <v>0</v>
      </c>
      <c r="L764">
        <v>0</v>
      </c>
      <c r="M764">
        <v>0</v>
      </c>
      <c r="N764">
        <v>7</v>
      </c>
      <c r="O764">
        <v>2</v>
      </c>
      <c r="P764">
        <v>0</v>
      </c>
      <c r="Q764">
        <v>0</v>
      </c>
      <c r="R764">
        <v>1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 t="s">
        <v>12</v>
      </c>
    </row>
    <row r="765" spans="1:25" x14ac:dyDescent="0.35">
      <c r="A765">
        <v>3421</v>
      </c>
      <c r="B765" t="s">
        <v>136</v>
      </c>
      <c r="C765" t="s">
        <v>5</v>
      </c>
      <c r="D765" t="s">
        <v>208</v>
      </c>
      <c r="E765">
        <v>0</v>
      </c>
      <c r="F765">
        <v>0</v>
      </c>
      <c r="G765">
        <v>0</v>
      </c>
      <c r="H765" t="s">
        <v>297</v>
      </c>
      <c r="I765">
        <v>7</v>
      </c>
      <c r="J765">
        <v>0</v>
      </c>
      <c r="K765">
        <v>0</v>
      </c>
      <c r="L765">
        <v>0</v>
      </c>
      <c r="M765">
        <v>0</v>
      </c>
      <c r="N765">
        <v>7</v>
      </c>
      <c r="O765">
        <v>1</v>
      </c>
      <c r="P765">
        <v>0</v>
      </c>
      <c r="Q765">
        <v>0</v>
      </c>
      <c r="R765">
        <v>2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 t="s">
        <v>12</v>
      </c>
    </row>
    <row r="766" spans="1:25" x14ac:dyDescent="0.35">
      <c r="A766">
        <v>3422</v>
      </c>
      <c r="B766" t="s">
        <v>136</v>
      </c>
      <c r="C766" t="s">
        <v>5</v>
      </c>
      <c r="D766" t="s">
        <v>208</v>
      </c>
      <c r="E766">
        <v>0</v>
      </c>
      <c r="F766">
        <v>0</v>
      </c>
      <c r="G766">
        <v>1</v>
      </c>
      <c r="H766" t="s">
        <v>297</v>
      </c>
      <c r="I766">
        <v>5</v>
      </c>
      <c r="J766">
        <v>0</v>
      </c>
      <c r="K766">
        <v>0</v>
      </c>
      <c r="L766">
        <v>0</v>
      </c>
      <c r="M766">
        <v>0</v>
      </c>
      <c r="N766">
        <v>5</v>
      </c>
      <c r="O766">
        <v>0</v>
      </c>
      <c r="P766">
        <v>0</v>
      </c>
      <c r="Q766">
        <v>0</v>
      </c>
      <c r="R766">
        <v>3</v>
      </c>
      <c r="S766">
        <v>2</v>
      </c>
      <c r="T766">
        <v>0</v>
      </c>
      <c r="U766">
        <v>0</v>
      </c>
      <c r="V766">
        <v>0</v>
      </c>
      <c r="W766">
        <v>0</v>
      </c>
      <c r="X766">
        <v>0</v>
      </c>
      <c r="Y766" t="s">
        <v>12</v>
      </c>
    </row>
    <row r="767" spans="1:25" x14ac:dyDescent="0.35">
      <c r="A767">
        <v>3424</v>
      </c>
      <c r="B767" t="s">
        <v>136</v>
      </c>
      <c r="C767" t="s">
        <v>5</v>
      </c>
      <c r="D767" t="s">
        <v>208</v>
      </c>
      <c r="E767">
        <v>1</v>
      </c>
      <c r="F767">
        <v>0</v>
      </c>
      <c r="G767">
        <v>0</v>
      </c>
      <c r="H767" t="s">
        <v>297</v>
      </c>
      <c r="I767">
        <v>5</v>
      </c>
      <c r="J767">
        <v>0</v>
      </c>
      <c r="K767">
        <v>0</v>
      </c>
      <c r="L767">
        <v>0</v>
      </c>
      <c r="M767">
        <v>0</v>
      </c>
      <c r="N767">
        <v>5</v>
      </c>
      <c r="O767">
        <v>0</v>
      </c>
      <c r="P767">
        <v>0</v>
      </c>
      <c r="Q767">
        <v>0</v>
      </c>
      <c r="R767">
        <v>4</v>
      </c>
      <c r="S767">
        <v>0</v>
      </c>
      <c r="T767">
        <v>0</v>
      </c>
      <c r="U767">
        <v>1</v>
      </c>
      <c r="V767">
        <v>0</v>
      </c>
      <c r="W767">
        <v>0</v>
      </c>
      <c r="X767">
        <v>0</v>
      </c>
      <c r="Y767" t="s">
        <v>12</v>
      </c>
    </row>
    <row r="768" spans="1:25" x14ac:dyDescent="0.35">
      <c r="A768">
        <v>3429</v>
      </c>
      <c r="B768" t="s">
        <v>136</v>
      </c>
      <c r="C768" t="s">
        <v>5</v>
      </c>
      <c r="D768" t="s">
        <v>208</v>
      </c>
      <c r="E768">
        <v>1</v>
      </c>
      <c r="F768">
        <v>0</v>
      </c>
      <c r="G768">
        <v>0</v>
      </c>
      <c r="H768" t="s">
        <v>297</v>
      </c>
      <c r="I768">
        <v>5</v>
      </c>
      <c r="J768">
        <v>0</v>
      </c>
      <c r="K768">
        <v>0</v>
      </c>
      <c r="L768">
        <v>0</v>
      </c>
      <c r="M768">
        <v>0</v>
      </c>
      <c r="N768">
        <v>5</v>
      </c>
      <c r="O768">
        <v>0</v>
      </c>
      <c r="P768">
        <v>0</v>
      </c>
      <c r="Q768">
        <v>0</v>
      </c>
      <c r="R768">
        <v>4</v>
      </c>
      <c r="S768">
        <v>0</v>
      </c>
      <c r="T768">
        <v>0</v>
      </c>
      <c r="U768">
        <v>1</v>
      </c>
      <c r="V768">
        <v>0</v>
      </c>
      <c r="W768">
        <v>0</v>
      </c>
      <c r="X768">
        <v>0</v>
      </c>
      <c r="Y768" t="s">
        <v>12</v>
      </c>
    </row>
    <row r="769" spans="1:25" x14ac:dyDescent="0.35">
      <c r="A769">
        <v>3430</v>
      </c>
      <c r="B769" t="s">
        <v>136</v>
      </c>
      <c r="C769" t="s">
        <v>5</v>
      </c>
      <c r="D769" t="s">
        <v>208</v>
      </c>
      <c r="E769">
        <v>1</v>
      </c>
      <c r="F769">
        <v>0</v>
      </c>
      <c r="G769">
        <v>0</v>
      </c>
      <c r="H769" t="s">
        <v>297</v>
      </c>
      <c r="I769">
        <v>6</v>
      </c>
      <c r="J769">
        <v>0</v>
      </c>
      <c r="K769">
        <v>0</v>
      </c>
      <c r="L769">
        <v>0</v>
      </c>
      <c r="M769">
        <v>1</v>
      </c>
      <c r="N769">
        <v>6</v>
      </c>
      <c r="O769">
        <v>0</v>
      </c>
      <c r="P769">
        <v>0</v>
      </c>
      <c r="Q769">
        <v>0</v>
      </c>
      <c r="R769">
        <v>3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 t="s">
        <v>12</v>
      </c>
    </row>
    <row r="770" spans="1:25" x14ac:dyDescent="0.35">
      <c r="A770">
        <v>3601</v>
      </c>
      <c r="B770" t="s">
        <v>136</v>
      </c>
      <c r="C770" t="s">
        <v>5</v>
      </c>
      <c r="D770" t="s">
        <v>208</v>
      </c>
      <c r="E770">
        <v>0</v>
      </c>
      <c r="F770">
        <v>0</v>
      </c>
      <c r="G770">
        <v>0</v>
      </c>
      <c r="H770" t="s">
        <v>297</v>
      </c>
      <c r="I770">
        <v>6</v>
      </c>
      <c r="J770">
        <v>0</v>
      </c>
      <c r="K770">
        <v>0</v>
      </c>
      <c r="L770">
        <v>0</v>
      </c>
      <c r="M770">
        <v>0</v>
      </c>
      <c r="N770">
        <v>6</v>
      </c>
      <c r="O770">
        <v>3</v>
      </c>
      <c r="P770">
        <v>0</v>
      </c>
      <c r="Q770">
        <v>1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 t="s">
        <v>12</v>
      </c>
    </row>
    <row r="771" spans="1:25" x14ac:dyDescent="0.35">
      <c r="A771">
        <v>3611</v>
      </c>
      <c r="B771" t="s">
        <v>136</v>
      </c>
      <c r="C771" t="s">
        <v>5</v>
      </c>
      <c r="D771" t="s">
        <v>208</v>
      </c>
      <c r="E771">
        <v>1</v>
      </c>
      <c r="F771">
        <v>1</v>
      </c>
      <c r="G771">
        <v>0</v>
      </c>
      <c r="H771" t="s">
        <v>297</v>
      </c>
      <c r="I771">
        <v>8</v>
      </c>
      <c r="J771">
        <v>0</v>
      </c>
      <c r="K771">
        <v>0</v>
      </c>
      <c r="L771">
        <v>0</v>
      </c>
      <c r="M771">
        <v>0</v>
      </c>
      <c r="N771">
        <v>8</v>
      </c>
      <c r="O771">
        <v>1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 t="s">
        <v>12</v>
      </c>
    </row>
    <row r="772" spans="1:25" x14ac:dyDescent="0.35">
      <c r="A772">
        <v>3619</v>
      </c>
      <c r="B772" t="s">
        <v>136</v>
      </c>
      <c r="C772" t="s">
        <v>5</v>
      </c>
      <c r="D772" t="s">
        <v>208</v>
      </c>
      <c r="E772">
        <v>1</v>
      </c>
      <c r="F772">
        <v>0</v>
      </c>
      <c r="G772">
        <v>0</v>
      </c>
      <c r="H772" t="s">
        <v>297</v>
      </c>
      <c r="I772">
        <v>8</v>
      </c>
      <c r="J772">
        <v>0</v>
      </c>
      <c r="K772">
        <v>0</v>
      </c>
      <c r="L772">
        <v>0</v>
      </c>
      <c r="M772">
        <v>0</v>
      </c>
      <c r="N772">
        <v>8</v>
      </c>
      <c r="O772">
        <v>1</v>
      </c>
      <c r="P772">
        <v>0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 t="s">
        <v>12</v>
      </c>
    </row>
    <row r="773" spans="1:25" x14ac:dyDescent="0.35">
      <c r="A773">
        <v>3684</v>
      </c>
      <c r="B773" t="s">
        <v>136</v>
      </c>
      <c r="C773" t="s">
        <v>5</v>
      </c>
      <c r="D773" t="s">
        <v>208</v>
      </c>
      <c r="E773">
        <v>0</v>
      </c>
      <c r="F773">
        <v>0</v>
      </c>
      <c r="G773">
        <v>0</v>
      </c>
      <c r="H773" t="s">
        <v>297</v>
      </c>
      <c r="I773">
        <v>5</v>
      </c>
      <c r="J773">
        <v>0</v>
      </c>
      <c r="K773">
        <v>0</v>
      </c>
      <c r="L773">
        <v>0</v>
      </c>
      <c r="M773">
        <v>0</v>
      </c>
      <c r="N773">
        <v>5</v>
      </c>
      <c r="O773">
        <v>2</v>
      </c>
      <c r="P773">
        <v>0</v>
      </c>
      <c r="Q773">
        <v>3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 t="s">
        <v>12</v>
      </c>
    </row>
    <row r="774" spans="1:25" x14ac:dyDescent="0.35">
      <c r="A774">
        <v>3694</v>
      </c>
      <c r="B774" t="s">
        <v>136</v>
      </c>
      <c r="C774" t="s">
        <v>5</v>
      </c>
      <c r="D774" t="s">
        <v>208</v>
      </c>
      <c r="E774">
        <v>0</v>
      </c>
      <c r="F774">
        <v>0</v>
      </c>
      <c r="G774">
        <v>0</v>
      </c>
      <c r="H774" t="s">
        <v>297</v>
      </c>
      <c r="I774">
        <v>5</v>
      </c>
      <c r="J774">
        <v>0</v>
      </c>
      <c r="K774">
        <v>0</v>
      </c>
      <c r="L774">
        <v>0</v>
      </c>
      <c r="M774">
        <v>0</v>
      </c>
      <c r="N774">
        <v>5</v>
      </c>
      <c r="O774">
        <v>2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3</v>
      </c>
      <c r="V774">
        <v>0</v>
      </c>
      <c r="W774">
        <v>0</v>
      </c>
      <c r="X774">
        <v>0</v>
      </c>
      <c r="Y774" t="s">
        <v>12</v>
      </c>
    </row>
    <row r="775" spans="1:25" x14ac:dyDescent="0.35">
      <c r="A775">
        <v>3696</v>
      </c>
      <c r="B775" t="s">
        <v>136</v>
      </c>
      <c r="C775" t="s">
        <v>5</v>
      </c>
      <c r="D775" t="s">
        <v>208</v>
      </c>
      <c r="E775">
        <v>1</v>
      </c>
      <c r="F775">
        <v>0</v>
      </c>
      <c r="G775">
        <v>0</v>
      </c>
      <c r="H775" t="s">
        <v>297</v>
      </c>
      <c r="I775">
        <v>7</v>
      </c>
      <c r="J775">
        <v>0</v>
      </c>
      <c r="K775">
        <v>0</v>
      </c>
      <c r="L775">
        <v>0</v>
      </c>
      <c r="M775">
        <v>0</v>
      </c>
      <c r="N775">
        <v>7</v>
      </c>
      <c r="O775">
        <v>0</v>
      </c>
      <c r="P775">
        <v>0</v>
      </c>
      <c r="Q775">
        <v>1</v>
      </c>
      <c r="R775">
        <v>0</v>
      </c>
      <c r="S775">
        <v>0</v>
      </c>
      <c r="T775">
        <v>0</v>
      </c>
      <c r="U775">
        <v>2</v>
      </c>
      <c r="V775">
        <v>0</v>
      </c>
      <c r="W775">
        <v>0</v>
      </c>
      <c r="X775">
        <v>0</v>
      </c>
      <c r="Y775" t="s">
        <v>12</v>
      </c>
    </row>
    <row r="776" spans="1:25" x14ac:dyDescent="0.35">
      <c r="A776">
        <v>3808</v>
      </c>
      <c r="B776" t="s">
        <v>136</v>
      </c>
      <c r="C776" t="s">
        <v>5</v>
      </c>
      <c r="D776" t="s">
        <v>208</v>
      </c>
      <c r="E776">
        <v>1</v>
      </c>
      <c r="F776">
        <v>0</v>
      </c>
      <c r="G776">
        <v>0</v>
      </c>
      <c r="H776" t="s">
        <v>297</v>
      </c>
      <c r="I776">
        <v>5</v>
      </c>
      <c r="J776">
        <v>0</v>
      </c>
      <c r="K776">
        <v>4</v>
      </c>
      <c r="L776">
        <v>0</v>
      </c>
      <c r="M776">
        <v>0</v>
      </c>
      <c r="N776">
        <v>5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1</v>
      </c>
      <c r="Y776" t="s">
        <v>12</v>
      </c>
    </row>
    <row r="777" spans="1:25" x14ac:dyDescent="0.35">
      <c r="A777">
        <v>3839</v>
      </c>
      <c r="B777" t="s">
        <v>136</v>
      </c>
      <c r="C777" t="s">
        <v>5</v>
      </c>
      <c r="D777" t="s">
        <v>208</v>
      </c>
      <c r="E777">
        <v>1</v>
      </c>
      <c r="F777">
        <v>0</v>
      </c>
      <c r="G777">
        <v>0</v>
      </c>
      <c r="H777" t="s">
        <v>297</v>
      </c>
      <c r="I777">
        <v>8</v>
      </c>
      <c r="J777">
        <v>0</v>
      </c>
      <c r="K777">
        <v>0</v>
      </c>
      <c r="L777">
        <v>0</v>
      </c>
      <c r="M777">
        <v>0</v>
      </c>
      <c r="N777">
        <v>8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2</v>
      </c>
      <c r="Y777" t="s">
        <v>12</v>
      </c>
    </row>
    <row r="778" spans="1:25" x14ac:dyDescent="0.35">
      <c r="A778">
        <v>3840</v>
      </c>
      <c r="B778" t="s">
        <v>136</v>
      </c>
      <c r="C778" t="s">
        <v>5</v>
      </c>
      <c r="D778" t="s">
        <v>208</v>
      </c>
      <c r="E778">
        <v>1</v>
      </c>
      <c r="F778">
        <v>0</v>
      </c>
      <c r="G778">
        <v>0</v>
      </c>
      <c r="H778" t="s">
        <v>297</v>
      </c>
      <c r="I778">
        <v>7</v>
      </c>
      <c r="J778">
        <v>0</v>
      </c>
      <c r="K778">
        <v>0</v>
      </c>
      <c r="L778">
        <v>0</v>
      </c>
      <c r="M778">
        <v>0</v>
      </c>
      <c r="N778">
        <v>7</v>
      </c>
      <c r="O778">
        <v>0</v>
      </c>
      <c r="P778">
        <v>0</v>
      </c>
      <c r="Q778">
        <v>0</v>
      </c>
      <c r="R778">
        <v>0</v>
      </c>
      <c r="S778">
        <v>1</v>
      </c>
      <c r="T778">
        <v>0</v>
      </c>
      <c r="U778">
        <v>0</v>
      </c>
      <c r="V778">
        <v>0</v>
      </c>
      <c r="W778">
        <v>0</v>
      </c>
      <c r="X778">
        <v>2</v>
      </c>
      <c r="Y778" t="s">
        <v>12</v>
      </c>
    </row>
    <row r="779" spans="1:25" x14ac:dyDescent="0.35">
      <c r="A779">
        <v>3844</v>
      </c>
      <c r="B779" t="s">
        <v>136</v>
      </c>
      <c r="C779" t="s">
        <v>5</v>
      </c>
      <c r="D779" t="s">
        <v>208</v>
      </c>
      <c r="E779">
        <v>0</v>
      </c>
      <c r="F779">
        <v>0</v>
      </c>
      <c r="G779">
        <v>0</v>
      </c>
      <c r="H779" t="s">
        <v>297</v>
      </c>
      <c r="I779">
        <v>8</v>
      </c>
      <c r="J779">
        <v>0</v>
      </c>
      <c r="K779">
        <v>1</v>
      </c>
      <c r="L779">
        <v>0</v>
      </c>
      <c r="M779">
        <v>0</v>
      </c>
      <c r="N779">
        <v>8</v>
      </c>
      <c r="O779">
        <v>0</v>
      </c>
      <c r="P779">
        <v>0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 t="s">
        <v>12</v>
      </c>
    </row>
    <row r="780" spans="1:25" x14ac:dyDescent="0.35">
      <c r="A780">
        <v>3115</v>
      </c>
      <c r="B780" t="s">
        <v>47</v>
      </c>
      <c r="C780" t="s">
        <v>13</v>
      </c>
      <c r="D780" t="s">
        <v>293</v>
      </c>
      <c r="E780">
        <v>1</v>
      </c>
      <c r="F780">
        <v>0</v>
      </c>
      <c r="G780">
        <v>0</v>
      </c>
      <c r="H780" t="s">
        <v>297</v>
      </c>
      <c r="I780">
        <v>5</v>
      </c>
      <c r="J780">
        <v>0</v>
      </c>
      <c r="K780">
        <v>4</v>
      </c>
      <c r="L780">
        <v>0</v>
      </c>
      <c r="M780">
        <v>0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5</v>
      </c>
      <c r="Y780" t="s">
        <v>15</v>
      </c>
    </row>
    <row r="781" spans="1:25" x14ac:dyDescent="0.35">
      <c r="A781">
        <v>3116</v>
      </c>
      <c r="B781" t="s">
        <v>47</v>
      </c>
      <c r="C781" t="s">
        <v>13</v>
      </c>
      <c r="D781" t="s">
        <v>293</v>
      </c>
      <c r="E781">
        <v>1</v>
      </c>
      <c r="F781">
        <v>0</v>
      </c>
      <c r="G781">
        <v>0</v>
      </c>
      <c r="H781" t="s">
        <v>297</v>
      </c>
      <c r="I781">
        <v>10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10</v>
      </c>
      <c r="Y781" t="s">
        <v>15</v>
      </c>
    </row>
    <row r="782" spans="1:25" x14ac:dyDescent="0.35">
      <c r="A782">
        <v>3118</v>
      </c>
      <c r="B782" t="s">
        <v>47</v>
      </c>
      <c r="C782" t="s">
        <v>13</v>
      </c>
      <c r="D782" t="s">
        <v>293</v>
      </c>
      <c r="E782">
        <v>0</v>
      </c>
      <c r="F782">
        <v>0</v>
      </c>
      <c r="G782">
        <v>1</v>
      </c>
      <c r="H782" t="s">
        <v>297</v>
      </c>
      <c r="I782">
        <v>6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1</v>
      </c>
      <c r="P782">
        <v>0</v>
      </c>
      <c r="Q782">
        <v>3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6</v>
      </c>
      <c r="Y782" t="s">
        <v>15</v>
      </c>
    </row>
    <row r="783" spans="1:25" x14ac:dyDescent="0.35">
      <c r="A783">
        <v>3119</v>
      </c>
      <c r="B783" t="s">
        <v>47</v>
      </c>
      <c r="C783" t="s">
        <v>13</v>
      </c>
      <c r="D783" t="s">
        <v>293</v>
      </c>
      <c r="E783">
        <v>0</v>
      </c>
      <c r="F783">
        <v>0</v>
      </c>
      <c r="G783">
        <v>1</v>
      </c>
      <c r="H783" t="s">
        <v>297</v>
      </c>
      <c r="I783">
        <v>10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10</v>
      </c>
      <c r="Y783" t="s">
        <v>15</v>
      </c>
    </row>
    <row r="784" spans="1:25" x14ac:dyDescent="0.35">
      <c r="A784">
        <v>3120</v>
      </c>
      <c r="B784" t="s">
        <v>47</v>
      </c>
      <c r="C784" t="s">
        <v>13</v>
      </c>
      <c r="D784" t="s">
        <v>293</v>
      </c>
      <c r="E784">
        <v>1</v>
      </c>
      <c r="F784">
        <v>0</v>
      </c>
      <c r="G784">
        <v>0</v>
      </c>
      <c r="H784" t="s">
        <v>297</v>
      </c>
      <c r="I784">
        <v>10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10</v>
      </c>
      <c r="Y784" t="s">
        <v>15</v>
      </c>
    </row>
    <row r="785" spans="1:25" x14ac:dyDescent="0.35">
      <c r="A785">
        <v>3123</v>
      </c>
      <c r="B785" t="s">
        <v>47</v>
      </c>
      <c r="C785" t="s">
        <v>13</v>
      </c>
      <c r="D785" t="s">
        <v>293</v>
      </c>
      <c r="E785">
        <v>0</v>
      </c>
      <c r="F785">
        <v>0</v>
      </c>
      <c r="G785">
        <v>0</v>
      </c>
      <c r="H785" t="s">
        <v>297</v>
      </c>
      <c r="I785">
        <v>5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4</v>
      </c>
      <c r="R785">
        <v>0</v>
      </c>
      <c r="S785">
        <v>1</v>
      </c>
      <c r="T785">
        <v>0</v>
      </c>
      <c r="U785">
        <v>0</v>
      </c>
      <c r="V785">
        <v>0</v>
      </c>
      <c r="W785">
        <v>0</v>
      </c>
      <c r="X785">
        <v>5</v>
      </c>
      <c r="Y785" t="s">
        <v>15</v>
      </c>
    </row>
    <row r="786" spans="1:25" x14ac:dyDescent="0.35">
      <c r="A786">
        <v>3125</v>
      </c>
      <c r="B786" t="s">
        <v>47</v>
      </c>
      <c r="C786" t="s">
        <v>13</v>
      </c>
      <c r="D786" t="s">
        <v>293</v>
      </c>
      <c r="E786">
        <v>0</v>
      </c>
      <c r="F786">
        <v>0</v>
      </c>
      <c r="G786">
        <v>0</v>
      </c>
      <c r="H786" t="s">
        <v>297</v>
      </c>
      <c r="I786">
        <v>5</v>
      </c>
      <c r="J786">
        <v>0</v>
      </c>
      <c r="K786">
        <v>0</v>
      </c>
      <c r="L786">
        <v>1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4</v>
      </c>
      <c r="T786">
        <v>0</v>
      </c>
      <c r="U786">
        <v>0</v>
      </c>
      <c r="V786">
        <v>0</v>
      </c>
      <c r="W786">
        <v>0</v>
      </c>
      <c r="X786">
        <v>5</v>
      </c>
      <c r="Y786" t="s">
        <v>15</v>
      </c>
    </row>
    <row r="787" spans="1:25" x14ac:dyDescent="0.35">
      <c r="A787">
        <v>3128</v>
      </c>
      <c r="B787" t="s">
        <v>47</v>
      </c>
      <c r="C787" t="s">
        <v>13</v>
      </c>
      <c r="D787" t="s">
        <v>293</v>
      </c>
      <c r="E787">
        <v>1</v>
      </c>
      <c r="F787">
        <v>0</v>
      </c>
      <c r="G787">
        <v>0</v>
      </c>
      <c r="H787" t="s">
        <v>297</v>
      </c>
      <c r="I787">
        <v>10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10</v>
      </c>
      <c r="Y787" t="s">
        <v>15</v>
      </c>
    </row>
    <row r="788" spans="1:25" x14ac:dyDescent="0.35">
      <c r="A788">
        <v>3505</v>
      </c>
      <c r="B788" t="s">
        <v>47</v>
      </c>
      <c r="C788" t="s">
        <v>13</v>
      </c>
      <c r="D788" t="s">
        <v>293</v>
      </c>
      <c r="E788">
        <v>0</v>
      </c>
      <c r="F788">
        <v>0</v>
      </c>
      <c r="G788">
        <v>0</v>
      </c>
      <c r="H788" t="s">
        <v>297</v>
      </c>
      <c r="I788">
        <v>8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1</v>
      </c>
      <c r="P788">
        <v>0</v>
      </c>
      <c r="Q788">
        <v>1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8</v>
      </c>
      <c r="Y788" t="s">
        <v>15</v>
      </c>
    </row>
    <row r="789" spans="1:25" x14ac:dyDescent="0.35">
      <c r="A789">
        <v>3507</v>
      </c>
      <c r="B789" t="s">
        <v>47</v>
      </c>
      <c r="C789" t="s">
        <v>13</v>
      </c>
      <c r="D789" t="s">
        <v>293</v>
      </c>
      <c r="E789">
        <v>0</v>
      </c>
      <c r="F789">
        <v>0</v>
      </c>
      <c r="G789">
        <v>0</v>
      </c>
      <c r="H789" t="s">
        <v>297</v>
      </c>
      <c r="I789">
        <v>6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3</v>
      </c>
      <c r="R789">
        <v>0</v>
      </c>
      <c r="S789">
        <v>1</v>
      </c>
      <c r="T789">
        <v>0</v>
      </c>
      <c r="U789">
        <v>0</v>
      </c>
      <c r="V789">
        <v>0</v>
      </c>
      <c r="W789">
        <v>0</v>
      </c>
      <c r="X789">
        <v>6</v>
      </c>
      <c r="Y789" t="s">
        <v>15</v>
      </c>
    </row>
    <row r="790" spans="1:25" x14ac:dyDescent="0.35">
      <c r="A790">
        <v>3512</v>
      </c>
      <c r="B790" t="s">
        <v>47</v>
      </c>
      <c r="C790" t="s">
        <v>13</v>
      </c>
      <c r="D790" t="s">
        <v>293</v>
      </c>
      <c r="E790">
        <v>0</v>
      </c>
      <c r="F790">
        <v>0</v>
      </c>
      <c r="G790">
        <v>0</v>
      </c>
      <c r="H790" t="s">
        <v>297</v>
      </c>
      <c r="I790">
        <v>8</v>
      </c>
      <c r="J790">
        <v>1</v>
      </c>
      <c r="K790">
        <v>1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8</v>
      </c>
      <c r="Y790" t="s">
        <v>15</v>
      </c>
    </row>
    <row r="791" spans="1:25" x14ac:dyDescent="0.35">
      <c r="A791">
        <v>3718</v>
      </c>
      <c r="B791" t="s">
        <v>47</v>
      </c>
      <c r="C791" t="s">
        <v>13</v>
      </c>
      <c r="D791" t="s">
        <v>293</v>
      </c>
      <c r="E791">
        <v>1</v>
      </c>
      <c r="F791">
        <v>1</v>
      </c>
      <c r="G791">
        <v>0</v>
      </c>
      <c r="H791" t="s">
        <v>297</v>
      </c>
      <c r="I791">
        <v>5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5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5</v>
      </c>
      <c r="Y791" t="s">
        <v>15</v>
      </c>
    </row>
    <row r="792" spans="1:25" x14ac:dyDescent="0.35">
      <c r="A792">
        <v>3833</v>
      </c>
      <c r="B792" t="s">
        <v>47</v>
      </c>
      <c r="C792" t="s">
        <v>13</v>
      </c>
      <c r="D792" t="s">
        <v>293</v>
      </c>
      <c r="E792">
        <v>0</v>
      </c>
      <c r="F792">
        <v>0</v>
      </c>
      <c r="G792">
        <v>0</v>
      </c>
      <c r="H792" t="s">
        <v>297</v>
      </c>
      <c r="I792">
        <v>8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1</v>
      </c>
      <c r="T792">
        <v>0</v>
      </c>
      <c r="U792">
        <v>0</v>
      </c>
      <c r="V792">
        <v>1</v>
      </c>
      <c r="W792">
        <v>0</v>
      </c>
      <c r="X792">
        <v>8</v>
      </c>
      <c r="Y792" t="s">
        <v>15</v>
      </c>
    </row>
    <row r="793" spans="1:25" x14ac:dyDescent="0.35">
      <c r="A793">
        <v>3835</v>
      </c>
      <c r="B793" t="s">
        <v>47</v>
      </c>
      <c r="C793" t="s">
        <v>13</v>
      </c>
      <c r="D793" t="s">
        <v>293</v>
      </c>
      <c r="E793">
        <v>0</v>
      </c>
      <c r="F793">
        <v>1</v>
      </c>
      <c r="G793">
        <v>0</v>
      </c>
      <c r="H793" t="s">
        <v>297</v>
      </c>
      <c r="I793">
        <v>8</v>
      </c>
      <c r="J793">
        <v>0</v>
      </c>
      <c r="K793">
        <v>1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1</v>
      </c>
      <c r="T793">
        <v>0</v>
      </c>
      <c r="U793">
        <v>0</v>
      </c>
      <c r="V793">
        <v>0</v>
      </c>
      <c r="W793">
        <v>0</v>
      </c>
      <c r="X793">
        <v>8</v>
      </c>
      <c r="Y793" t="s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97"/>
  <sheetViews>
    <sheetView showGridLines="0" workbookViewId="0">
      <selection activeCell="A4" sqref="A4"/>
    </sheetView>
  </sheetViews>
  <sheetFormatPr defaultRowHeight="14.5" x14ac:dyDescent="0.35"/>
  <cols>
    <col min="1" max="1" width="7.26953125" bestFit="1" customWidth="1"/>
    <col min="2" max="2" width="7.08984375" customWidth="1"/>
    <col min="3" max="3" width="9.7265625" customWidth="1"/>
    <col min="4" max="4" width="9.36328125" customWidth="1"/>
  </cols>
  <sheetData>
    <row r="1" spans="1:2" s="36" customFormat="1" x14ac:dyDescent="0.35"/>
    <row r="2" spans="1:2" s="36" customFormat="1" x14ac:dyDescent="0.35"/>
    <row r="3" spans="1:2" s="36" customFormat="1" x14ac:dyDescent="0.35"/>
    <row r="4" spans="1:2" s="36" customFormat="1" x14ac:dyDescent="0.35"/>
    <row r="5" spans="1:2" x14ac:dyDescent="0.35">
      <c r="A5" t="s">
        <v>200</v>
      </c>
      <c r="B5" t="s">
        <v>201</v>
      </c>
    </row>
    <row r="6" spans="1:2" x14ac:dyDescent="0.35">
      <c r="A6">
        <v>3061</v>
      </c>
      <c r="B6" t="s">
        <v>173</v>
      </c>
    </row>
    <row r="7" spans="1:2" x14ac:dyDescent="0.35">
      <c r="A7">
        <v>3063</v>
      </c>
      <c r="B7" t="s">
        <v>173</v>
      </c>
    </row>
    <row r="8" spans="1:2" x14ac:dyDescent="0.35">
      <c r="A8">
        <v>3064</v>
      </c>
      <c r="B8" t="s">
        <v>173</v>
      </c>
    </row>
    <row r="9" spans="1:2" x14ac:dyDescent="0.35">
      <c r="A9">
        <v>3067</v>
      </c>
      <c r="B9" t="s">
        <v>173</v>
      </c>
    </row>
    <row r="10" spans="1:2" x14ac:dyDescent="0.35">
      <c r="A10">
        <v>3070</v>
      </c>
      <c r="B10" t="s">
        <v>173</v>
      </c>
    </row>
    <row r="11" spans="1:2" x14ac:dyDescent="0.35">
      <c r="A11">
        <v>3072</v>
      </c>
      <c r="B11" t="s">
        <v>173</v>
      </c>
    </row>
    <row r="12" spans="1:2" x14ac:dyDescent="0.35">
      <c r="A12">
        <v>3074</v>
      </c>
      <c r="B12" t="s">
        <v>173</v>
      </c>
    </row>
    <row r="13" spans="1:2" x14ac:dyDescent="0.35">
      <c r="A13">
        <v>3075</v>
      </c>
      <c r="B13" t="s">
        <v>173</v>
      </c>
    </row>
    <row r="14" spans="1:2" x14ac:dyDescent="0.35">
      <c r="A14">
        <v>3077</v>
      </c>
      <c r="B14" t="s">
        <v>173</v>
      </c>
    </row>
    <row r="15" spans="1:2" x14ac:dyDescent="0.35">
      <c r="A15">
        <v>3079</v>
      </c>
      <c r="B15" t="s">
        <v>173</v>
      </c>
    </row>
    <row r="16" spans="1:2" x14ac:dyDescent="0.35">
      <c r="A16">
        <v>3096</v>
      </c>
      <c r="B16" t="s">
        <v>173</v>
      </c>
    </row>
    <row r="17" spans="1:2" x14ac:dyDescent="0.35">
      <c r="A17">
        <v>3111</v>
      </c>
      <c r="B17" t="s">
        <v>173</v>
      </c>
    </row>
    <row r="18" spans="1:2" x14ac:dyDescent="0.35">
      <c r="A18">
        <v>3276</v>
      </c>
      <c r="B18" t="s">
        <v>173</v>
      </c>
    </row>
    <row r="19" spans="1:2" x14ac:dyDescent="0.35">
      <c r="A19">
        <v>3279</v>
      </c>
      <c r="B19" t="s">
        <v>173</v>
      </c>
    </row>
    <row r="20" spans="1:2" x14ac:dyDescent="0.35">
      <c r="A20">
        <v>3284</v>
      </c>
      <c r="B20" t="s">
        <v>173</v>
      </c>
    </row>
    <row r="21" spans="1:2" x14ac:dyDescent="0.35">
      <c r="A21">
        <v>3286</v>
      </c>
      <c r="B21" t="s">
        <v>173</v>
      </c>
    </row>
    <row r="22" spans="1:2" x14ac:dyDescent="0.35">
      <c r="A22">
        <v>3449</v>
      </c>
      <c r="B22" t="s">
        <v>173</v>
      </c>
    </row>
    <row r="23" spans="1:2" x14ac:dyDescent="0.35">
      <c r="A23">
        <v>3455</v>
      </c>
      <c r="B23" t="s">
        <v>173</v>
      </c>
    </row>
    <row r="24" spans="1:2" x14ac:dyDescent="0.35">
      <c r="A24">
        <v>3790</v>
      </c>
      <c r="B24" t="s">
        <v>173</v>
      </c>
    </row>
    <row r="25" spans="1:2" x14ac:dyDescent="0.35">
      <c r="A25">
        <v>3799</v>
      </c>
      <c r="B25" t="s">
        <v>173</v>
      </c>
    </row>
    <row r="26" spans="1:2" x14ac:dyDescent="0.35">
      <c r="A26">
        <v>3809</v>
      </c>
      <c r="B26" t="s">
        <v>173</v>
      </c>
    </row>
    <row r="27" spans="1:2" x14ac:dyDescent="0.35">
      <c r="A27">
        <v>3082</v>
      </c>
      <c r="B27" t="s">
        <v>150</v>
      </c>
    </row>
    <row r="28" spans="1:2" x14ac:dyDescent="0.35">
      <c r="A28">
        <v>3086</v>
      </c>
      <c r="B28" t="s">
        <v>150</v>
      </c>
    </row>
    <row r="29" spans="1:2" x14ac:dyDescent="0.35">
      <c r="A29">
        <v>3094</v>
      </c>
      <c r="B29" t="s">
        <v>150</v>
      </c>
    </row>
    <row r="30" spans="1:2" x14ac:dyDescent="0.35">
      <c r="A30">
        <v>3531</v>
      </c>
      <c r="B30" t="s">
        <v>150</v>
      </c>
    </row>
    <row r="31" spans="1:2" x14ac:dyDescent="0.35">
      <c r="A31">
        <v>3533</v>
      </c>
      <c r="B31" t="s">
        <v>150</v>
      </c>
    </row>
    <row r="32" spans="1:2" x14ac:dyDescent="0.35">
      <c r="A32">
        <v>3534</v>
      </c>
      <c r="B32" t="s">
        <v>150</v>
      </c>
    </row>
    <row r="33" spans="1:2" x14ac:dyDescent="0.35">
      <c r="A33">
        <v>3535</v>
      </c>
      <c r="B33" t="s">
        <v>150</v>
      </c>
    </row>
    <row r="34" spans="1:2" x14ac:dyDescent="0.35">
      <c r="A34">
        <v>3537</v>
      </c>
      <c r="B34" t="s">
        <v>150</v>
      </c>
    </row>
    <row r="35" spans="1:2" x14ac:dyDescent="0.35">
      <c r="A35">
        <v>3538</v>
      </c>
      <c r="B35" t="s">
        <v>150</v>
      </c>
    </row>
    <row r="36" spans="1:2" x14ac:dyDescent="0.35">
      <c r="A36">
        <v>3539</v>
      </c>
      <c r="B36" t="s">
        <v>150</v>
      </c>
    </row>
    <row r="37" spans="1:2" x14ac:dyDescent="0.35">
      <c r="A37">
        <v>3632</v>
      </c>
      <c r="B37" t="s">
        <v>150</v>
      </c>
    </row>
    <row r="38" spans="1:2" x14ac:dyDescent="0.35">
      <c r="A38">
        <v>3634</v>
      </c>
      <c r="B38" t="s">
        <v>150</v>
      </c>
    </row>
    <row r="39" spans="1:2" x14ac:dyDescent="0.35">
      <c r="A39">
        <v>3659</v>
      </c>
      <c r="B39" t="s">
        <v>150</v>
      </c>
    </row>
    <row r="40" spans="1:2" x14ac:dyDescent="0.35">
      <c r="A40">
        <v>3668</v>
      </c>
      <c r="B40" t="s">
        <v>150</v>
      </c>
    </row>
    <row r="41" spans="1:2" x14ac:dyDescent="0.35">
      <c r="A41">
        <v>3669</v>
      </c>
      <c r="B41" t="s">
        <v>150</v>
      </c>
    </row>
    <row r="42" spans="1:2" x14ac:dyDescent="0.35">
      <c r="A42">
        <v>3736</v>
      </c>
      <c r="B42" t="s">
        <v>150</v>
      </c>
    </row>
    <row r="43" spans="1:2" x14ac:dyDescent="0.35">
      <c r="A43">
        <v>3738</v>
      </c>
      <c r="B43" t="s">
        <v>150</v>
      </c>
    </row>
    <row r="44" spans="1:2" x14ac:dyDescent="0.35">
      <c r="A44">
        <v>3746</v>
      </c>
      <c r="B44" t="s">
        <v>150</v>
      </c>
    </row>
    <row r="45" spans="1:2" x14ac:dyDescent="0.35">
      <c r="A45">
        <v>3775</v>
      </c>
      <c r="B45" t="s">
        <v>150</v>
      </c>
    </row>
    <row r="46" spans="1:2" x14ac:dyDescent="0.35">
      <c r="A46">
        <v>3783</v>
      </c>
      <c r="B46" t="s">
        <v>150</v>
      </c>
    </row>
    <row r="47" spans="1:2" x14ac:dyDescent="0.35">
      <c r="A47">
        <v>3062</v>
      </c>
      <c r="B47" t="s">
        <v>166</v>
      </c>
    </row>
    <row r="48" spans="1:2" x14ac:dyDescent="0.35">
      <c r="A48">
        <v>3065</v>
      </c>
      <c r="B48" t="s">
        <v>166</v>
      </c>
    </row>
    <row r="49" spans="1:2" x14ac:dyDescent="0.35">
      <c r="A49">
        <v>3078</v>
      </c>
      <c r="B49" t="s">
        <v>166</v>
      </c>
    </row>
    <row r="50" spans="1:2" x14ac:dyDescent="0.35">
      <c r="A50">
        <v>3100</v>
      </c>
      <c r="B50" t="s">
        <v>166</v>
      </c>
    </row>
    <row r="51" spans="1:2" x14ac:dyDescent="0.35">
      <c r="A51">
        <v>3101</v>
      </c>
      <c r="B51" t="s">
        <v>166</v>
      </c>
    </row>
    <row r="52" spans="1:2" x14ac:dyDescent="0.35">
      <c r="A52">
        <v>3102</v>
      </c>
      <c r="B52" t="s">
        <v>166</v>
      </c>
    </row>
    <row r="53" spans="1:2" x14ac:dyDescent="0.35">
      <c r="A53">
        <v>3104</v>
      </c>
      <c r="B53" t="s">
        <v>166</v>
      </c>
    </row>
    <row r="54" spans="1:2" x14ac:dyDescent="0.35">
      <c r="A54">
        <v>3107</v>
      </c>
      <c r="B54" t="s">
        <v>166</v>
      </c>
    </row>
    <row r="55" spans="1:2" x14ac:dyDescent="0.35">
      <c r="A55">
        <v>3108</v>
      </c>
      <c r="B55" t="s">
        <v>166</v>
      </c>
    </row>
    <row r="56" spans="1:2" x14ac:dyDescent="0.35">
      <c r="A56">
        <v>3113</v>
      </c>
      <c r="B56" t="s">
        <v>166</v>
      </c>
    </row>
    <row r="57" spans="1:2" x14ac:dyDescent="0.35">
      <c r="A57">
        <v>3114</v>
      </c>
      <c r="B57" t="s">
        <v>166</v>
      </c>
    </row>
    <row r="58" spans="1:2" x14ac:dyDescent="0.35">
      <c r="A58">
        <v>3451</v>
      </c>
      <c r="B58" t="s">
        <v>166</v>
      </c>
    </row>
    <row r="59" spans="1:2" x14ac:dyDescent="0.35">
      <c r="A59">
        <v>3456</v>
      </c>
      <c r="B59" t="s">
        <v>166</v>
      </c>
    </row>
    <row r="60" spans="1:2" x14ac:dyDescent="0.35">
      <c r="A60">
        <v>3457</v>
      </c>
      <c r="B60" t="s">
        <v>166</v>
      </c>
    </row>
    <row r="61" spans="1:2" x14ac:dyDescent="0.35">
      <c r="A61">
        <v>3465</v>
      </c>
      <c r="B61" t="s">
        <v>166</v>
      </c>
    </row>
    <row r="62" spans="1:2" x14ac:dyDescent="0.35">
      <c r="A62">
        <v>3716</v>
      </c>
      <c r="B62" t="s">
        <v>166</v>
      </c>
    </row>
    <row r="63" spans="1:2" x14ac:dyDescent="0.35">
      <c r="A63">
        <v>3717</v>
      </c>
      <c r="B63" t="s">
        <v>166</v>
      </c>
    </row>
    <row r="64" spans="1:2" x14ac:dyDescent="0.35">
      <c r="A64">
        <v>3722</v>
      </c>
      <c r="B64" t="s">
        <v>166</v>
      </c>
    </row>
    <row r="65" spans="1:2" x14ac:dyDescent="0.35">
      <c r="A65">
        <v>3788</v>
      </c>
      <c r="B65" t="s">
        <v>166</v>
      </c>
    </row>
    <row r="66" spans="1:2" x14ac:dyDescent="0.35">
      <c r="A66">
        <v>3802</v>
      </c>
      <c r="B66" t="s">
        <v>166</v>
      </c>
    </row>
    <row r="67" spans="1:2" x14ac:dyDescent="0.35">
      <c r="A67">
        <v>3162</v>
      </c>
      <c r="B67" t="s">
        <v>138</v>
      </c>
    </row>
    <row r="68" spans="1:2" x14ac:dyDescent="0.35">
      <c r="A68">
        <v>3166</v>
      </c>
      <c r="B68" t="s">
        <v>138</v>
      </c>
    </row>
    <row r="69" spans="1:2" x14ac:dyDescent="0.35">
      <c r="A69">
        <v>3167</v>
      </c>
      <c r="B69" t="s">
        <v>138</v>
      </c>
    </row>
    <row r="70" spans="1:2" x14ac:dyDescent="0.35">
      <c r="A70">
        <v>3169</v>
      </c>
      <c r="B70" t="s">
        <v>138</v>
      </c>
    </row>
    <row r="71" spans="1:2" x14ac:dyDescent="0.35">
      <c r="A71">
        <v>3171</v>
      </c>
      <c r="B71" t="s">
        <v>138</v>
      </c>
    </row>
    <row r="72" spans="1:2" x14ac:dyDescent="0.35">
      <c r="A72">
        <v>3175</v>
      </c>
      <c r="B72" t="s">
        <v>138</v>
      </c>
    </row>
    <row r="73" spans="1:2" x14ac:dyDescent="0.35">
      <c r="A73">
        <v>3291</v>
      </c>
      <c r="B73" t="s">
        <v>138</v>
      </c>
    </row>
    <row r="74" spans="1:2" x14ac:dyDescent="0.35">
      <c r="A74">
        <v>3321</v>
      </c>
      <c r="B74" t="s">
        <v>138</v>
      </c>
    </row>
    <row r="75" spans="1:2" x14ac:dyDescent="0.35">
      <c r="A75">
        <v>3369</v>
      </c>
      <c r="B75" t="s">
        <v>138</v>
      </c>
    </row>
    <row r="76" spans="1:2" x14ac:dyDescent="0.35">
      <c r="A76">
        <v>3755</v>
      </c>
      <c r="B76" t="s">
        <v>138</v>
      </c>
    </row>
    <row r="77" spans="1:2" x14ac:dyDescent="0.35">
      <c r="A77">
        <v>3760</v>
      </c>
      <c r="B77" t="s">
        <v>138</v>
      </c>
    </row>
    <row r="78" spans="1:2" x14ac:dyDescent="0.35">
      <c r="A78">
        <v>3765</v>
      </c>
      <c r="B78" t="s">
        <v>138</v>
      </c>
    </row>
    <row r="79" spans="1:2" x14ac:dyDescent="0.35">
      <c r="A79">
        <v>3767</v>
      </c>
      <c r="B79" t="s">
        <v>138</v>
      </c>
    </row>
    <row r="80" spans="1:2" x14ac:dyDescent="0.35">
      <c r="A80">
        <v>3806</v>
      </c>
      <c r="B80" t="s">
        <v>138</v>
      </c>
    </row>
    <row r="81" spans="1:2" x14ac:dyDescent="0.35">
      <c r="A81">
        <v>3818</v>
      </c>
      <c r="B81" t="s">
        <v>138</v>
      </c>
    </row>
    <row r="82" spans="1:2" x14ac:dyDescent="0.35">
      <c r="A82">
        <v>3158</v>
      </c>
      <c r="B82" t="s">
        <v>145</v>
      </c>
    </row>
    <row r="83" spans="1:2" x14ac:dyDescent="0.35">
      <c r="A83">
        <v>3161</v>
      </c>
      <c r="B83" t="s">
        <v>145</v>
      </c>
    </row>
    <row r="84" spans="1:2" x14ac:dyDescent="0.35">
      <c r="A84">
        <v>3202</v>
      </c>
      <c r="B84" t="s">
        <v>145</v>
      </c>
    </row>
    <row r="85" spans="1:2" x14ac:dyDescent="0.35">
      <c r="A85">
        <v>3293</v>
      </c>
      <c r="B85" t="s">
        <v>145</v>
      </c>
    </row>
    <row r="86" spans="1:2" x14ac:dyDescent="0.35">
      <c r="A86">
        <v>3298</v>
      </c>
      <c r="B86" t="s">
        <v>145</v>
      </c>
    </row>
    <row r="87" spans="1:2" x14ac:dyDescent="0.35">
      <c r="A87">
        <v>3490</v>
      </c>
      <c r="B87" t="s">
        <v>145</v>
      </c>
    </row>
    <row r="88" spans="1:2" x14ac:dyDescent="0.35">
      <c r="A88">
        <v>3491</v>
      </c>
      <c r="B88" t="s">
        <v>145</v>
      </c>
    </row>
    <row r="89" spans="1:2" x14ac:dyDescent="0.35">
      <c r="A89">
        <v>3502</v>
      </c>
      <c r="B89" t="s">
        <v>145</v>
      </c>
    </row>
    <row r="90" spans="1:2" x14ac:dyDescent="0.35">
      <c r="A90">
        <v>3548</v>
      </c>
      <c r="B90" t="s">
        <v>145</v>
      </c>
    </row>
    <row r="91" spans="1:2" x14ac:dyDescent="0.35">
      <c r="A91">
        <v>3662</v>
      </c>
      <c r="B91" t="s">
        <v>145</v>
      </c>
    </row>
    <row r="92" spans="1:2" x14ac:dyDescent="0.35">
      <c r="A92">
        <v>3690</v>
      </c>
      <c r="B92" t="s">
        <v>145</v>
      </c>
    </row>
    <row r="93" spans="1:2" x14ac:dyDescent="0.35">
      <c r="A93">
        <v>3748</v>
      </c>
      <c r="B93" t="s">
        <v>145</v>
      </c>
    </row>
    <row r="94" spans="1:2" x14ac:dyDescent="0.35">
      <c r="A94">
        <v>3769</v>
      </c>
      <c r="B94" t="s">
        <v>145</v>
      </c>
    </row>
    <row r="95" spans="1:2" x14ac:dyDescent="0.35">
      <c r="A95">
        <v>3772</v>
      </c>
      <c r="B95" t="s">
        <v>145</v>
      </c>
    </row>
    <row r="96" spans="1:2" x14ac:dyDescent="0.35">
      <c r="A96">
        <v>3822</v>
      </c>
      <c r="B96" t="s">
        <v>145</v>
      </c>
    </row>
    <row r="97" spans="1:2" x14ac:dyDescent="0.35">
      <c r="A97">
        <v>3825</v>
      </c>
      <c r="B97" t="s">
        <v>145</v>
      </c>
    </row>
    <row r="98" spans="1:2" x14ac:dyDescent="0.35">
      <c r="A98">
        <v>3069</v>
      </c>
      <c r="B98" t="s">
        <v>122</v>
      </c>
    </row>
    <row r="99" spans="1:2" x14ac:dyDescent="0.35">
      <c r="A99">
        <v>3076</v>
      </c>
      <c r="B99" t="s">
        <v>122</v>
      </c>
    </row>
    <row r="100" spans="1:2" x14ac:dyDescent="0.35">
      <c r="A100">
        <v>3098</v>
      </c>
      <c r="B100" t="s">
        <v>122</v>
      </c>
    </row>
    <row r="101" spans="1:2" x14ac:dyDescent="0.35">
      <c r="A101">
        <v>3099</v>
      </c>
      <c r="B101" t="s">
        <v>122</v>
      </c>
    </row>
    <row r="102" spans="1:2" x14ac:dyDescent="0.35">
      <c r="A102">
        <v>3109</v>
      </c>
      <c r="B102" t="s">
        <v>122</v>
      </c>
    </row>
    <row r="103" spans="1:2" x14ac:dyDescent="0.35">
      <c r="A103">
        <v>3112</v>
      </c>
      <c r="B103" t="s">
        <v>122</v>
      </c>
    </row>
    <row r="104" spans="1:2" x14ac:dyDescent="0.35">
      <c r="A104">
        <v>3282</v>
      </c>
      <c r="B104" t="s">
        <v>122</v>
      </c>
    </row>
    <row r="105" spans="1:2" x14ac:dyDescent="0.35">
      <c r="A105">
        <v>3452</v>
      </c>
      <c r="B105" t="s">
        <v>122</v>
      </c>
    </row>
    <row r="106" spans="1:2" x14ac:dyDescent="0.35">
      <c r="A106">
        <v>3458</v>
      </c>
      <c r="B106" t="s">
        <v>122</v>
      </c>
    </row>
    <row r="107" spans="1:2" x14ac:dyDescent="0.35">
      <c r="A107">
        <v>3463</v>
      </c>
      <c r="B107" t="s">
        <v>122</v>
      </c>
    </row>
    <row r="108" spans="1:2" x14ac:dyDescent="0.35">
      <c r="A108">
        <v>3663</v>
      </c>
      <c r="B108" t="s">
        <v>122</v>
      </c>
    </row>
    <row r="109" spans="1:2" x14ac:dyDescent="0.35">
      <c r="A109">
        <v>3723</v>
      </c>
      <c r="B109" t="s">
        <v>122</v>
      </c>
    </row>
    <row r="110" spans="1:2" x14ac:dyDescent="0.35">
      <c r="A110">
        <v>3725</v>
      </c>
      <c r="B110" t="s">
        <v>122</v>
      </c>
    </row>
    <row r="111" spans="1:2" x14ac:dyDescent="0.35">
      <c r="A111">
        <v>3727</v>
      </c>
      <c r="B111" t="s">
        <v>122</v>
      </c>
    </row>
    <row r="112" spans="1:2" x14ac:dyDescent="0.35">
      <c r="A112">
        <v>3733</v>
      </c>
      <c r="B112" t="s">
        <v>122</v>
      </c>
    </row>
    <row r="113" spans="1:2" x14ac:dyDescent="0.35">
      <c r="A113">
        <v>3792</v>
      </c>
      <c r="B113" t="s">
        <v>122</v>
      </c>
    </row>
    <row r="114" spans="1:2" x14ac:dyDescent="0.35">
      <c r="A114">
        <v>3793</v>
      </c>
      <c r="B114" t="s">
        <v>122</v>
      </c>
    </row>
    <row r="115" spans="1:2" x14ac:dyDescent="0.35">
      <c r="A115">
        <v>3794</v>
      </c>
      <c r="B115" t="s">
        <v>122</v>
      </c>
    </row>
    <row r="116" spans="1:2" x14ac:dyDescent="0.35">
      <c r="A116">
        <v>3795</v>
      </c>
      <c r="B116" t="s">
        <v>122</v>
      </c>
    </row>
    <row r="117" spans="1:2" x14ac:dyDescent="0.35">
      <c r="A117">
        <v>3796</v>
      </c>
      <c r="B117" t="s">
        <v>122</v>
      </c>
    </row>
    <row r="118" spans="1:2" x14ac:dyDescent="0.35">
      <c r="A118">
        <v>3804</v>
      </c>
      <c r="B118" t="s">
        <v>122</v>
      </c>
    </row>
    <row r="119" spans="1:2" x14ac:dyDescent="0.35">
      <c r="A119">
        <v>3071</v>
      </c>
      <c r="B119" t="s">
        <v>125</v>
      </c>
    </row>
    <row r="120" spans="1:2" x14ac:dyDescent="0.35">
      <c r="A120">
        <v>3095</v>
      </c>
      <c r="B120" t="s">
        <v>125</v>
      </c>
    </row>
    <row r="121" spans="1:2" x14ac:dyDescent="0.35">
      <c r="A121">
        <v>3103</v>
      </c>
      <c r="B121" t="s">
        <v>125</v>
      </c>
    </row>
    <row r="122" spans="1:2" x14ac:dyDescent="0.35">
      <c r="A122">
        <v>3105</v>
      </c>
      <c r="B122" t="s">
        <v>125</v>
      </c>
    </row>
    <row r="123" spans="1:2" x14ac:dyDescent="0.35">
      <c r="A123">
        <v>3110</v>
      </c>
      <c r="B123" t="s">
        <v>125</v>
      </c>
    </row>
    <row r="124" spans="1:2" x14ac:dyDescent="0.35">
      <c r="A124">
        <v>3159</v>
      </c>
      <c r="B124" t="s">
        <v>125</v>
      </c>
    </row>
    <row r="125" spans="1:2" x14ac:dyDescent="0.35">
      <c r="A125">
        <v>3234</v>
      </c>
      <c r="B125" t="s">
        <v>125</v>
      </c>
    </row>
    <row r="126" spans="1:2" x14ac:dyDescent="0.35">
      <c r="A126">
        <v>3453</v>
      </c>
      <c r="B126" t="s">
        <v>125</v>
      </c>
    </row>
    <row r="127" spans="1:2" x14ac:dyDescent="0.35">
      <c r="A127">
        <v>3454</v>
      </c>
      <c r="B127" t="s">
        <v>125</v>
      </c>
    </row>
    <row r="128" spans="1:2" x14ac:dyDescent="0.35">
      <c r="A128">
        <v>3459</v>
      </c>
      <c r="B128" t="s">
        <v>125</v>
      </c>
    </row>
    <row r="129" spans="1:2" x14ac:dyDescent="0.35">
      <c r="A129">
        <v>3461</v>
      </c>
      <c r="B129" t="s">
        <v>125</v>
      </c>
    </row>
    <row r="130" spans="1:2" x14ac:dyDescent="0.35">
      <c r="A130">
        <v>3462</v>
      </c>
      <c r="B130" t="s">
        <v>125</v>
      </c>
    </row>
    <row r="131" spans="1:2" x14ac:dyDescent="0.35">
      <c r="A131">
        <v>3719</v>
      </c>
      <c r="B131" t="s">
        <v>125</v>
      </c>
    </row>
    <row r="132" spans="1:2" x14ac:dyDescent="0.35">
      <c r="A132">
        <v>3720</v>
      </c>
      <c r="B132" t="s">
        <v>125</v>
      </c>
    </row>
    <row r="133" spans="1:2" x14ac:dyDescent="0.35">
      <c r="A133">
        <v>3726</v>
      </c>
      <c r="B133" t="s">
        <v>125</v>
      </c>
    </row>
    <row r="134" spans="1:2" x14ac:dyDescent="0.35">
      <c r="A134">
        <v>3728</v>
      </c>
      <c r="B134" t="s">
        <v>125</v>
      </c>
    </row>
    <row r="135" spans="1:2" x14ac:dyDescent="0.35">
      <c r="A135">
        <v>3729</v>
      </c>
      <c r="B135" t="s">
        <v>125</v>
      </c>
    </row>
    <row r="136" spans="1:2" x14ac:dyDescent="0.35">
      <c r="A136">
        <v>3731</v>
      </c>
      <c r="B136" t="s">
        <v>125</v>
      </c>
    </row>
    <row r="137" spans="1:2" x14ac:dyDescent="0.35">
      <c r="A137">
        <v>3787</v>
      </c>
      <c r="B137" t="s">
        <v>125</v>
      </c>
    </row>
    <row r="138" spans="1:2" x14ac:dyDescent="0.35">
      <c r="A138">
        <v>3798</v>
      </c>
      <c r="B138" t="s">
        <v>125</v>
      </c>
    </row>
    <row r="139" spans="1:2" x14ac:dyDescent="0.35">
      <c r="A139">
        <v>3801</v>
      </c>
      <c r="B139" t="s">
        <v>125</v>
      </c>
    </row>
    <row r="140" spans="1:2" x14ac:dyDescent="0.35">
      <c r="A140">
        <v>3207</v>
      </c>
      <c r="B140" t="s">
        <v>143</v>
      </c>
    </row>
    <row r="141" spans="1:2" x14ac:dyDescent="0.35">
      <c r="A141">
        <v>3208</v>
      </c>
      <c r="B141" t="s">
        <v>143</v>
      </c>
    </row>
    <row r="142" spans="1:2" x14ac:dyDescent="0.35">
      <c r="A142">
        <v>3212</v>
      </c>
      <c r="B142" t="s">
        <v>143</v>
      </c>
    </row>
    <row r="143" spans="1:2" x14ac:dyDescent="0.35">
      <c r="A143">
        <v>3387</v>
      </c>
      <c r="B143" t="s">
        <v>143</v>
      </c>
    </row>
    <row r="144" spans="1:2" x14ac:dyDescent="0.35">
      <c r="A144">
        <v>3503</v>
      </c>
      <c r="B144" t="s">
        <v>143</v>
      </c>
    </row>
    <row r="145" spans="1:2" x14ac:dyDescent="0.35">
      <c r="A145">
        <v>3519</v>
      </c>
      <c r="B145" t="s">
        <v>143</v>
      </c>
    </row>
    <row r="146" spans="1:2" x14ac:dyDescent="0.35">
      <c r="A146">
        <v>3526</v>
      </c>
      <c r="B146" t="s">
        <v>143</v>
      </c>
    </row>
    <row r="147" spans="1:2" x14ac:dyDescent="0.35">
      <c r="A147">
        <v>3529</v>
      </c>
      <c r="B147" t="s">
        <v>143</v>
      </c>
    </row>
    <row r="148" spans="1:2" x14ac:dyDescent="0.35">
      <c r="A148">
        <v>3610</v>
      </c>
      <c r="B148" t="s">
        <v>143</v>
      </c>
    </row>
    <row r="149" spans="1:2" x14ac:dyDescent="0.35">
      <c r="A149">
        <v>3640</v>
      </c>
      <c r="B149" t="s">
        <v>143</v>
      </c>
    </row>
    <row r="150" spans="1:2" x14ac:dyDescent="0.35">
      <c r="A150">
        <v>3644</v>
      </c>
      <c r="B150" t="s">
        <v>143</v>
      </c>
    </row>
    <row r="151" spans="1:2" x14ac:dyDescent="0.35">
      <c r="A151">
        <v>3648</v>
      </c>
      <c r="B151" t="s">
        <v>143</v>
      </c>
    </row>
    <row r="152" spans="1:2" x14ac:dyDescent="0.35">
      <c r="A152">
        <v>3671</v>
      </c>
      <c r="B152" t="s">
        <v>143</v>
      </c>
    </row>
    <row r="153" spans="1:2" x14ac:dyDescent="0.35">
      <c r="A153">
        <v>3837</v>
      </c>
      <c r="B153" t="s">
        <v>143</v>
      </c>
    </row>
    <row r="154" spans="1:2" x14ac:dyDescent="0.35">
      <c r="A154">
        <v>3148</v>
      </c>
      <c r="B154" t="s">
        <v>161</v>
      </c>
    </row>
    <row r="155" spans="1:2" x14ac:dyDescent="0.35">
      <c r="A155">
        <v>3186</v>
      </c>
      <c r="B155" t="s">
        <v>161</v>
      </c>
    </row>
    <row r="156" spans="1:2" x14ac:dyDescent="0.35">
      <c r="A156">
        <v>3187</v>
      </c>
      <c r="B156" t="s">
        <v>161</v>
      </c>
    </row>
    <row r="157" spans="1:2" x14ac:dyDescent="0.35">
      <c r="A157">
        <v>3192</v>
      </c>
      <c r="B157" t="s">
        <v>161</v>
      </c>
    </row>
    <row r="158" spans="1:2" x14ac:dyDescent="0.35">
      <c r="A158">
        <v>3195</v>
      </c>
      <c r="B158" t="s">
        <v>161</v>
      </c>
    </row>
    <row r="159" spans="1:2" x14ac:dyDescent="0.35">
      <c r="A159">
        <v>3201</v>
      </c>
      <c r="B159" t="s">
        <v>161</v>
      </c>
    </row>
    <row r="160" spans="1:2" x14ac:dyDescent="0.35">
      <c r="A160">
        <v>3216</v>
      </c>
      <c r="B160" t="s">
        <v>161</v>
      </c>
    </row>
    <row r="161" spans="1:2" x14ac:dyDescent="0.35">
      <c r="A161">
        <v>3225</v>
      </c>
      <c r="B161" t="s">
        <v>161</v>
      </c>
    </row>
    <row r="162" spans="1:2" x14ac:dyDescent="0.35">
      <c r="A162">
        <v>3247</v>
      </c>
      <c r="B162" t="s">
        <v>161</v>
      </c>
    </row>
    <row r="163" spans="1:2" x14ac:dyDescent="0.35">
      <c r="A163">
        <v>3598</v>
      </c>
      <c r="B163" t="s">
        <v>161</v>
      </c>
    </row>
    <row r="164" spans="1:2" x14ac:dyDescent="0.35">
      <c r="A164">
        <v>3600</v>
      </c>
      <c r="B164" t="s">
        <v>161</v>
      </c>
    </row>
    <row r="165" spans="1:2" x14ac:dyDescent="0.35">
      <c r="A165">
        <v>3606</v>
      </c>
      <c r="B165" t="s">
        <v>161</v>
      </c>
    </row>
    <row r="166" spans="1:2" x14ac:dyDescent="0.35">
      <c r="A166">
        <v>3607</v>
      </c>
      <c r="B166" t="s">
        <v>161</v>
      </c>
    </row>
    <row r="167" spans="1:2" x14ac:dyDescent="0.35">
      <c r="A167">
        <v>3618</v>
      </c>
      <c r="B167" t="s">
        <v>161</v>
      </c>
    </row>
    <row r="168" spans="1:2" x14ac:dyDescent="0.35">
      <c r="A168">
        <v>3695</v>
      </c>
      <c r="B168" t="s">
        <v>161</v>
      </c>
    </row>
    <row r="169" spans="1:2" x14ac:dyDescent="0.35">
      <c r="A169">
        <v>3706</v>
      </c>
      <c r="B169" t="s">
        <v>161</v>
      </c>
    </row>
    <row r="170" spans="1:2" x14ac:dyDescent="0.35">
      <c r="A170">
        <v>3712</v>
      </c>
      <c r="B170" t="s">
        <v>161</v>
      </c>
    </row>
    <row r="171" spans="1:2" x14ac:dyDescent="0.35">
      <c r="A171">
        <v>3807</v>
      </c>
      <c r="B171" t="s">
        <v>161</v>
      </c>
    </row>
    <row r="172" spans="1:2" x14ac:dyDescent="0.35">
      <c r="A172">
        <v>3816</v>
      </c>
      <c r="B172" t="s">
        <v>161</v>
      </c>
    </row>
    <row r="173" spans="1:2" x14ac:dyDescent="0.35">
      <c r="A173">
        <v>3817</v>
      </c>
      <c r="B173" t="s">
        <v>161</v>
      </c>
    </row>
    <row r="174" spans="1:2" x14ac:dyDescent="0.35">
      <c r="A174">
        <v>3845</v>
      </c>
      <c r="B174" t="s">
        <v>161</v>
      </c>
    </row>
    <row r="175" spans="1:2" x14ac:dyDescent="0.35">
      <c r="A175">
        <v>3203</v>
      </c>
      <c r="B175" t="s">
        <v>159</v>
      </c>
    </row>
    <row r="176" spans="1:2" x14ac:dyDescent="0.35">
      <c r="A176">
        <v>3263</v>
      </c>
      <c r="B176" t="s">
        <v>159</v>
      </c>
    </row>
    <row r="177" spans="1:2" x14ac:dyDescent="0.35">
      <c r="A177">
        <v>3264</v>
      </c>
      <c r="B177" t="s">
        <v>159</v>
      </c>
    </row>
    <row r="178" spans="1:2" x14ac:dyDescent="0.35">
      <c r="A178">
        <v>3269</v>
      </c>
      <c r="B178" t="s">
        <v>159</v>
      </c>
    </row>
    <row r="179" spans="1:2" x14ac:dyDescent="0.35">
      <c r="A179">
        <v>3271</v>
      </c>
      <c r="B179" t="s">
        <v>159</v>
      </c>
    </row>
    <row r="180" spans="1:2" x14ac:dyDescent="0.35">
      <c r="A180">
        <v>3272</v>
      </c>
      <c r="B180" t="s">
        <v>159</v>
      </c>
    </row>
    <row r="181" spans="1:2" x14ac:dyDescent="0.35">
      <c r="A181">
        <v>3274</v>
      </c>
      <c r="B181" t="s">
        <v>159</v>
      </c>
    </row>
    <row r="182" spans="1:2" x14ac:dyDescent="0.35">
      <c r="A182">
        <v>3330</v>
      </c>
      <c r="B182" t="s">
        <v>159</v>
      </c>
    </row>
    <row r="183" spans="1:2" x14ac:dyDescent="0.35">
      <c r="A183">
        <v>3335</v>
      </c>
      <c r="B183" t="s">
        <v>159</v>
      </c>
    </row>
    <row r="184" spans="1:2" x14ac:dyDescent="0.35">
      <c r="A184">
        <v>3338</v>
      </c>
      <c r="B184" t="s">
        <v>159</v>
      </c>
    </row>
    <row r="185" spans="1:2" x14ac:dyDescent="0.35">
      <c r="A185">
        <v>3343</v>
      </c>
      <c r="B185" t="s">
        <v>159</v>
      </c>
    </row>
    <row r="186" spans="1:2" x14ac:dyDescent="0.35">
      <c r="A186">
        <v>3396</v>
      </c>
      <c r="B186" t="s">
        <v>159</v>
      </c>
    </row>
    <row r="187" spans="1:2" x14ac:dyDescent="0.35">
      <c r="A187">
        <v>3402</v>
      </c>
      <c r="B187" t="s">
        <v>159</v>
      </c>
    </row>
    <row r="188" spans="1:2" x14ac:dyDescent="0.35">
      <c r="A188">
        <v>3403</v>
      </c>
      <c r="B188" t="s">
        <v>159</v>
      </c>
    </row>
    <row r="189" spans="1:2" x14ac:dyDescent="0.35">
      <c r="A189">
        <v>3405</v>
      </c>
      <c r="B189" t="s">
        <v>159</v>
      </c>
    </row>
    <row r="190" spans="1:2" x14ac:dyDescent="0.35">
      <c r="A190">
        <v>3406</v>
      </c>
      <c r="B190" t="s">
        <v>159</v>
      </c>
    </row>
    <row r="191" spans="1:2" x14ac:dyDescent="0.35">
      <c r="A191">
        <v>3546</v>
      </c>
      <c r="B191" t="s">
        <v>159</v>
      </c>
    </row>
    <row r="192" spans="1:2" x14ac:dyDescent="0.35">
      <c r="A192">
        <v>3556</v>
      </c>
      <c r="B192" t="s">
        <v>159</v>
      </c>
    </row>
    <row r="193" spans="1:2" x14ac:dyDescent="0.35">
      <c r="A193">
        <v>3567</v>
      </c>
      <c r="B193" t="s">
        <v>159</v>
      </c>
    </row>
    <row r="194" spans="1:2" x14ac:dyDescent="0.35">
      <c r="A194">
        <v>3571</v>
      </c>
      <c r="B194" t="s">
        <v>159</v>
      </c>
    </row>
    <row r="195" spans="1:2" x14ac:dyDescent="0.35">
      <c r="A195">
        <v>3573</v>
      </c>
      <c r="B195" t="s">
        <v>159</v>
      </c>
    </row>
    <row r="196" spans="1:2" x14ac:dyDescent="0.35">
      <c r="A196">
        <v>3277</v>
      </c>
      <c r="B196" t="s">
        <v>129</v>
      </c>
    </row>
    <row r="197" spans="1:2" x14ac:dyDescent="0.35">
      <c r="A197">
        <v>3290</v>
      </c>
      <c r="B197" t="s">
        <v>129</v>
      </c>
    </row>
    <row r="198" spans="1:2" x14ac:dyDescent="0.35">
      <c r="A198">
        <v>3312</v>
      </c>
      <c r="B198" t="s">
        <v>129</v>
      </c>
    </row>
    <row r="199" spans="1:2" x14ac:dyDescent="0.35">
      <c r="A199">
        <v>3418</v>
      </c>
      <c r="B199" t="s">
        <v>129</v>
      </c>
    </row>
    <row r="200" spans="1:2" x14ac:dyDescent="0.35">
      <c r="A200">
        <v>3467</v>
      </c>
      <c r="B200" t="s">
        <v>129</v>
      </c>
    </row>
    <row r="201" spans="1:2" x14ac:dyDescent="0.35">
      <c r="A201">
        <v>3469</v>
      </c>
      <c r="B201" t="s">
        <v>129</v>
      </c>
    </row>
    <row r="202" spans="1:2" x14ac:dyDescent="0.35">
      <c r="A202">
        <v>3470</v>
      </c>
      <c r="B202" t="s">
        <v>129</v>
      </c>
    </row>
    <row r="203" spans="1:2" x14ac:dyDescent="0.35">
      <c r="A203">
        <v>3474</v>
      </c>
      <c r="B203" t="s">
        <v>129</v>
      </c>
    </row>
    <row r="204" spans="1:2" x14ac:dyDescent="0.35">
      <c r="A204">
        <v>3476</v>
      </c>
      <c r="B204" t="s">
        <v>129</v>
      </c>
    </row>
    <row r="205" spans="1:2" x14ac:dyDescent="0.35">
      <c r="A205">
        <v>3478</v>
      </c>
      <c r="B205" t="s">
        <v>129</v>
      </c>
    </row>
    <row r="206" spans="1:2" x14ac:dyDescent="0.35">
      <c r="A206">
        <v>3481</v>
      </c>
      <c r="B206" t="s">
        <v>129</v>
      </c>
    </row>
    <row r="207" spans="1:2" x14ac:dyDescent="0.35">
      <c r="A207">
        <v>3482</v>
      </c>
      <c r="B207" t="s">
        <v>129</v>
      </c>
    </row>
    <row r="208" spans="1:2" x14ac:dyDescent="0.35">
      <c r="A208">
        <v>3485</v>
      </c>
      <c r="B208" t="s">
        <v>129</v>
      </c>
    </row>
    <row r="209" spans="1:2" x14ac:dyDescent="0.35">
      <c r="A209">
        <v>3495</v>
      </c>
      <c r="B209" t="s">
        <v>129</v>
      </c>
    </row>
    <row r="210" spans="1:2" x14ac:dyDescent="0.35">
      <c r="A210">
        <v>3496</v>
      </c>
      <c r="B210" t="s">
        <v>129</v>
      </c>
    </row>
    <row r="211" spans="1:2" x14ac:dyDescent="0.35">
      <c r="A211">
        <v>3497</v>
      </c>
      <c r="B211" t="s">
        <v>129</v>
      </c>
    </row>
    <row r="212" spans="1:2" x14ac:dyDescent="0.35">
      <c r="A212">
        <v>3500</v>
      </c>
      <c r="B212" t="s">
        <v>129</v>
      </c>
    </row>
    <row r="213" spans="1:2" x14ac:dyDescent="0.35">
      <c r="A213">
        <v>3501</v>
      </c>
      <c r="B213" t="s">
        <v>129</v>
      </c>
    </row>
    <row r="214" spans="1:2" x14ac:dyDescent="0.35">
      <c r="A214">
        <v>3661</v>
      </c>
      <c r="B214" t="s">
        <v>129</v>
      </c>
    </row>
    <row r="215" spans="1:2" x14ac:dyDescent="0.35">
      <c r="A215">
        <v>3134</v>
      </c>
      <c r="B215" t="s">
        <v>172</v>
      </c>
    </row>
    <row r="216" spans="1:2" x14ac:dyDescent="0.35">
      <c r="A216">
        <v>3140</v>
      </c>
      <c r="B216" t="s">
        <v>172</v>
      </c>
    </row>
    <row r="217" spans="1:2" x14ac:dyDescent="0.35">
      <c r="A217">
        <v>3143</v>
      </c>
      <c r="B217" t="s">
        <v>172</v>
      </c>
    </row>
    <row r="218" spans="1:2" x14ac:dyDescent="0.35">
      <c r="A218">
        <v>3230</v>
      </c>
      <c r="B218" t="s">
        <v>172</v>
      </c>
    </row>
    <row r="219" spans="1:2" x14ac:dyDescent="0.35">
      <c r="A219">
        <v>3238</v>
      </c>
      <c r="B219" t="s">
        <v>172</v>
      </c>
    </row>
    <row r="220" spans="1:2" x14ac:dyDescent="0.35">
      <c r="A220">
        <v>3417</v>
      </c>
      <c r="B220" t="s">
        <v>172</v>
      </c>
    </row>
    <row r="221" spans="1:2" x14ac:dyDescent="0.35">
      <c r="A221">
        <v>3593</v>
      </c>
      <c r="B221" t="s">
        <v>172</v>
      </c>
    </row>
    <row r="222" spans="1:2" x14ac:dyDescent="0.35">
      <c r="A222">
        <v>3599</v>
      </c>
      <c r="B222" t="s">
        <v>172</v>
      </c>
    </row>
    <row r="223" spans="1:2" x14ac:dyDescent="0.35">
      <c r="A223">
        <v>3602</v>
      </c>
      <c r="B223" t="s">
        <v>172</v>
      </c>
    </row>
    <row r="224" spans="1:2" x14ac:dyDescent="0.35">
      <c r="A224">
        <v>3617</v>
      </c>
      <c r="B224" t="s">
        <v>172</v>
      </c>
    </row>
    <row r="225" spans="1:2" x14ac:dyDescent="0.35">
      <c r="A225">
        <v>3622</v>
      </c>
      <c r="B225" t="s">
        <v>172</v>
      </c>
    </row>
    <row r="226" spans="1:2" x14ac:dyDescent="0.35">
      <c r="A226">
        <v>3637</v>
      </c>
      <c r="B226" t="s">
        <v>172</v>
      </c>
    </row>
    <row r="227" spans="1:2" x14ac:dyDescent="0.35">
      <c r="A227">
        <v>3645</v>
      </c>
      <c r="B227" t="s">
        <v>172</v>
      </c>
    </row>
    <row r="228" spans="1:2" x14ac:dyDescent="0.35">
      <c r="A228">
        <v>3681</v>
      </c>
      <c r="B228" t="s">
        <v>172</v>
      </c>
    </row>
    <row r="229" spans="1:2" x14ac:dyDescent="0.35">
      <c r="A229">
        <v>3710</v>
      </c>
      <c r="B229" t="s">
        <v>172</v>
      </c>
    </row>
    <row r="230" spans="1:2" x14ac:dyDescent="0.35">
      <c r="A230">
        <v>3741</v>
      </c>
      <c r="B230" t="s">
        <v>172</v>
      </c>
    </row>
    <row r="231" spans="1:2" x14ac:dyDescent="0.35">
      <c r="A231">
        <v>3744</v>
      </c>
      <c r="B231" t="s">
        <v>172</v>
      </c>
    </row>
    <row r="232" spans="1:2" x14ac:dyDescent="0.35">
      <c r="A232">
        <v>3810</v>
      </c>
      <c r="B232" t="s">
        <v>172</v>
      </c>
    </row>
    <row r="233" spans="1:2" x14ac:dyDescent="0.35">
      <c r="A233">
        <v>3814</v>
      </c>
      <c r="B233" t="s">
        <v>172</v>
      </c>
    </row>
    <row r="234" spans="1:2" x14ac:dyDescent="0.35">
      <c r="A234">
        <v>3820</v>
      </c>
      <c r="B234" t="s">
        <v>172</v>
      </c>
    </row>
    <row r="235" spans="1:2" x14ac:dyDescent="0.35">
      <c r="A235">
        <v>3836</v>
      </c>
      <c r="B235" t="s">
        <v>172</v>
      </c>
    </row>
    <row r="236" spans="1:2" x14ac:dyDescent="0.35">
      <c r="A236">
        <v>3141</v>
      </c>
      <c r="B236" t="s">
        <v>154</v>
      </c>
    </row>
    <row r="237" spans="1:2" x14ac:dyDescent="0.35">
      <c r="A237">
        <v>3147</v>
      </c>
      <c r="B237" t="s">
        <v>154</v>
      </c>
    </row>
    <row r="238" spans="1:2" x14ac:dyDescent="0.35">
      <c r="A238">
        <v>3198</v>
      </c>
      <c r="B238" t="s">
        <v>154</v>
      </c>
    </row>
    <row r="239" spans="1:2" x14ac:dyDescent="0.35">
      <c r="A239">
        <v>3199</v>
      </c>
      <c r="B239" t="s">
        <v>154</v>
      </c>
    </row>
    <row r="240" spans="1:2" x14ac:dyDescent="0.35">
      <c r="A240">
        <v>3244</v>
      </c>
      <c r="B240" t="s">
        <v>154</v>
      </c>
    </row>
    <row r="241" spans="1:2" x14ac:dyDescent="0.35">
      <c r="A241">
        <v>3246</v>
      </c>
      <c r="B241" t="s">
        <v>154</v>
      </c>
    </row>
    <row r="242" spans="1:2" x14ac:dyDescent="0.35">
      <c r="A242">
        <v>3249</v>
      </c>
      <c r="B242" t="s">
        <v>154</v>
      </c>
    </row>
    <row r="243" spans="1:2" x14ac:dyDescent="0.35">
      <c r="A243">
        <v>3251</v>
      </c>
      <c r="B243" t="s">
        <v>154</v>
      </c>
    </row>
    <row r="244" spans="1:2" x14ac:dyDescent="0.35">
      <c r="A244">
        <v>3409</v>
      </c>
      <c r="B244" t="s">
        <v>154</v>
      </c>
    </row>
    <row r="245" spans="1:2" x14ac:dyDescent="0.35">
      <c r="A245">
        <v>3410</v>
      </c>
      <c r="B245" t="s">
        <v>154</v>
      </c>
    </row>
    <row r="246" spans="1:2" x14ac:dyDescent="0.35">
      <c r="A246">
        <v>3411</v>
      </c>
      <c r="B246" t="s">
        <v>154</v>
      </c>
    </row>
    <row r="247" spans="1:2" x14ac:dyDescent="0.35">
      <c r="A247">
        <v>3412</v>
      </c>
      <c r="B247" t="s">
        <v>154</v>
      </c>
    </row>
    <row r="248" spans="1:2" x14ac:dyDescent="0.35">
      <c r="A248">
        <v>3413</v>
      </c>
      <c r="B248" t="s">
        <v>154</v>
      </c>
    </row>
    <row r="249" spans="1:2" x14ac:dyDescent="0.35">
      <c r="A249">
        <v>3414</v>
      </c>
      <c r="B249" t="s">
        <v>154</v>
      </c>
    </row>
    <row r="250" spans="1:2" x14ac:dyDescent="0.35">
      <c r="A250">
        <v>3419</v>
      </c>
      <c r="B250" t="s">
        <v>154</v>
      </c>
    </row>
    <row r="251" spans="1:2" x14ac:dyDescent="0.35">
      <c r="A251">
        <v>3612</v>
      </c>
      <c r="B251" t="s">
        <v>154</v>
      </c>
    </row>
    <row r="252" spans="1:2" x14ac:dyDescent="0.35">
      <c r="A252">
        <v>3613</v>
      </c>
      <c r="B252" t="s">
        <v>154</v>
      </c>
    </row>
    <row r="253" spans="1:2" x14ac:dyDescent="0.35">
      <c r="A253">
        <v>3615</v>
      </c>
      <c r="B253" t="s">
        <v>154</v>
      </c>
    </row>
    <row r="254" spans="1:2" x14ac:dyDescent="0.35">
      <c r="A254">
        <v>3714</v>
      </c>
      <c r="B254" t="s">
        <v>154</v>
      </c>
    </row>
    <row r="255" spans="1:2" x14ac:dyDescent="0.35">
      <c r="A255">
        <v>3813</v>
      </c>
      <c r="B255" t="s">
        <v>154</v>
      </c>
    </row>
    <row r="256" spans="1:2" x14ac:dyDescent="0.35">
      <c r="A256">
        <v>3848</v>
      </c>
      <c r="B256" t="s">
        <v>154</v>
      </c>
    </row>
    <row r="257" spans="1:2" x14ac:dyDescent="0.35">
      <c r="A257">
        <v>3163</v>
      </c>
      <c r="B257" t="s">
        <v>144</v>
      </c>
    </row>
    <row r="258" spans="1:2" x14ac:dyDescent="0.35">
      <c r="A258">
        <v>3164</v>
      </c>
      <c r="B258" t="s">
        <v>144</v>
      </c>
    </row>
    <row r="259" spans="1:2" x14ac:dyDescent="0.35">
      <c r="A259">
        <v>3165</v>
      </c>
      <c r="B259" t="s">
        <v>144</v>
      </c>
    </row>
    <row r="260" spans="1:2" x14ac:dyDescent="0.35">
      <c r="A260">
        <v>3168</v>
      </c>
      <c r="B260" t="s">
        <v>144</v>
      </c>
    </row>
    <row r="261" spans="1:2" x14ac:dyDescent="0.35">
      <c r="A261">
        <v>3172</v>
      </c>
      <c r="B261" t="s">
        <v>144</v>
      </c>
    </row>
    <row r="262" spans="1:2" x14ac:dyDescent="0.35">
      <c r="A262">
        <v>3174</v>
      </c>
      <c r="B262" t="s">
        <v>144</v>
      </c>
    </row>
    <row r="263" spans="1:2" x14ac:dyDescent="0.35">
      <c r="A263">
        <v>3176</v>
      </c>
      <c r="B263" t="s">
        <v>144</v>
      </c>
    </row>
    <row r="264" spans="1:2" x14ac:dyDescent="0.35">
      <c r="A264">
        <v>3177</v>
      </c>
      <c r="B264" t="s">
        <v>144</v>
      </c>
    </row>
    <row r="265" spans="1:2" x14ac:dyDescent="0.35">
      <c r="A265">
        <v>3178</v>
      </c>
      <c r="B265" t="s">
        <v>144</v>
      </c>
    </row>
    <row r="266" spans="1:2" x14ac:dyDescent="0.35">
      <c r="A266">
        <v>3181</v>
      </c>
      <c r="B266" t="s">
        <v>144</v>
      </c>
    </row>
    <row r="267" spans="1:2" x14ac:dyDescent="0.35">
      <c r="A267">
        <v>3309</v>
      </c>
      <c r="B267" t="s">
        <v>144</v>
      </c>
    </row>
    <row r="268" spans="1:2" x14ac:dyDescent="0.35">
      <c r="A268">
        <v>3379</v>
      </c>
      <c r="B268" t="s">
        <v>144</v>
      </c>
    </row>
    <row r="269" spans="1:2" x14ac:dyDescent="0.35">
      <c r="A269">
        <v>3479</v>
      </c>
      <c r="B269" t="s">
        <v>144</v>
      </c>
    </row>
    <row r="270" spans="1:2" x14ac:dyDescent="0.35">
      <c r="A270">
        <v>3750</v>
      </c>
      <c r="B270" t="s">
        <v>144</v>
      </c>
    </row>
    <row r="271" spans="1:2" x14ac:dyDescent="0.35">
      <c r="A271">
        <v>3751</v>
      </c>
      <c r="B271" t="s">
        <v>144</v>
      </c>
    </row>
    <row r="272" spans="1:2" x14ac:dyDescent="0.35">
      <c r="A272">
        <v>3752</v>
      </c>
      <c r="B272" t="s">
        <v>144</v>
      </c>
    </row>
    <row r="273" spans="1:2" x14ac:dyDescent="0.35">
      <c r="A273">
        <v>3753</v>
      </c>
      <c r="B273" t="s">
        <v>144</v>
      </c>
    </row>
    <row r="274" spans="1:2" x14ac:dyDescent="0.35">
      <c r="A274">
        <v>3756</v>
      </c>
      <c r="B274" t="s">
        <v>144</v>
      </c>
    </row>
    <row r="275" spans="1:2" x14ac:dyDescent="0.35">
      <c r="A275">
        <v>3762</v>
      </c>
      <c r="B275" t="s">
        <v>144</v>
      </c>
    </row>
    <row r="276" spans="1:2" x14ac:dyDescent="0.35">
      <c r="A276">
        <v>3763</v>
      </c>
      <c r="B276" t="s">
        <v>144</v>
      </c>
    </row>
    <row r="277" spans="1:2" x14ac:dyDescent="0.35">
      <c r="A277">
        <v>3135</v>
      </c>
      <c r="B277" t="s">
        <v>126</v>
      </c>
    </row>
    <row r="278" spans="1:2" x14ac:dyDescent="0.35">
      <c r="A278">
        <v>3145</v>
      </c>
      <c r="B278" t="s">
        <v>126</v>
      </c>
    </row>
    <row r="279" spans="1:2" x14ac:dyDescent="0.35">
      <c r="A279">
        <v>3194</v>
      </c>
      <c r="B279" t="s">
        <v>126</v>
      </c>
    </row>
    <row r="280" spans="1:2" x14ac:dyDescent="0.35">
      <c r="A280">
        <v>3227</v>
      </c>
      <c r="B280" t="s">
        <v>126</v>
      </c>
    </row>
    <row r="281" spans="1:2" x14ac:dyDescent="0.35">
      <c r="A281">
        <v>3228</v>
      </c>
      <c r="B281" t="s">
        <v>126</v>
      </c>
    </row>
    <row r="282" spans="1:2" x14ac:dyDescent="0.35">
      <c r="A282">
        <v>3231</v>
      </c>
      <c r="B282" t="s">
        <v>126</v>
      </c>
    </row>
    <row r="283" spans="1:2" x14ac:dyDescent="0.35">
      <c r="A283">
        <v>3233</v>
      </c>
      <c r="B283" t="s">
        <v>126</v>
      </c>
    </row>
    <row r="284" spans="1:2" x14ac:dyDescent="0.35">
      <c r="A284">
        <v>3242</v>
      </c>
      <c r="B284" t="s">
        <v>126</v>
      </c>
    </row>
    <row r="285" spans="1:2" x14ac:dyDescent="0.35">
      <c r="A285">
        <v>3245</v>
      </c>
      <c r="B285" t="s">
        <v>126</v>
      </c>
    </row>
    <row r="286" spans="1:2" x14ac:dyDescent="0.35">
      <c r="A286">
        <v>3248</v>
      </c>
      <c r="B286" t="s">
        <v>126</v>
      </c>
    </row>
    <row r="287" spans="1:2" x14ac:dyDescent="0.35">
      <c r="A287">
        <v>3250</v>
      </c>
      <c r="B287" t="s">
        <v>126</v>
      </c>
    </row>
    <row r="288" spans="1:2" x14ac:dyDescent="0.35">
      <c r="A288">
        <v>3594</v>
      </c>
      <c r="B288" t="s">
        <v>126</v>
      </c>
    </row>
    <row r="289" spans="1:2" x14ac:dyDescent="0.35">
      <c r="A289">
        <v>3604</v>
      </c>
      <c r="B289" t="s">
        <v>126</v>
      </c>
    </row>
    <row r="290" spans="1:2" x14ac:dyDescent="0.35">
      <c r="A290">
        <v>3605</v>
      </c>
      <c r="B290" t="s">
        <v>126</v>
      </c>
    </row>
    <row r="291" spans="1:2" x14ac:dyDescent="0.35">
      <c r="A291">
        <v>3608</v>
      </c>
      <c r="B291" t="s">
        <v>126</v>
      </c>
    </row>
    <row r="292" spans="1:2" x14ac:dyDescent="0.35">
      <c r="A292">
        <v>3609</v>
      </c>
      <c r="B292" t="s">
        <v>126</v>
      </c>
    </row>
    <row r="293" spans="1:2" x14ac:dyDescent="0.35">
      <c r="A293">
        <v>3621</v>
      </c>
      <c r="B293" t="s">
        <v>126</v>
      </c>
    </row>
    <row r="294" spans="1:2" x14ac:dyDescent="0.35">
      <c r="A294">
        <v>3649</v>
      </c>
      <c r="B294" t="s">
        <v>126</v>
      </c>
    </row>
    <row r="295" spans="1:2" x14ac:dyDescent="0.35">
      <c r="A295">
        <v>3674</v>
      </c>
      <c r="B295" t="s">
        <v>126</v>
      </c>
    </row>
    <row r="296" spans="1:2" x14ac:dyDescent="0.35">
      <c r="A296">
        <v>3698</v>
      </c>
      <c r="B296" t="s">
        <v>126</v>
      </c>
    </row>
    <row r="297" spans="1:2" x14ac:dyDescent="0.35">
      <c r="A297">
        <v>3846</v>
      </c>
      <c r="B297" t="s">
        <v>126</v>
      </c>
    </row>
    <row r="298" spans="1:2" x14ac:dyDescent="0.35">
      <c r="A298">
        <v>3179</v>
      </c>
      <c r="B298" t="s">
        <v>128</v>
      </c>
    </row>
    <row r="299" spans="1:2" x14ac:dyDescent="0.35">
      <c r="A299">
        <v>3266</v>
      </c>
      <c r="B299" t="s">
        <v>128</v>
      </c>
    </row>
    <row r="300" spans="1:2" x14ac:dyDescent="0.35">
      <c r="A300">
        <v>3311</v>
      </c>
      <c r="B300" t="s">
        <v>128</v>
      </c>
    </row>
    <row r="301" spans="1:2" x14ac:dyDescent="0.35">
      <c r="A301">
        <v>3316</v>
      </c>
      <c r="B301" t="s">
        <v>128</v>
      </c>
    </row>
    <row r="302" spans="1:2" x14ac:dyDescent="0.35">
      <c r="A302">
        <v>3391</v>
      </c>
      <c r="B302" t="s">
        <v>128</v>
      </c>
    </row>
    <row r="303" spans="1:2" x14ac:dyDescent="0.35">
      <c r="A303">
        <v>3395</v>
      </c>
      <c r="B303" t="s">
        <v>128</v>
      </c>
    </row>
    <row r="304" spans="1:2" x14ac:dyDescent="0.35">
      <c r="A304">
        <v>3399</v>
      </c>
      <c r="B304" t="s">
        <v>128</v>
      </c>
    </row>
    <row r="305" spans="1:2" x14ac:dyDescent="0.35">
      <c r="A305">
        <v>3401</v>
      </c>
      <c r="B305" t="s">
        <v>128</v>
      </c>
    </row>
    <row r="306" spans="1:2" x14ac:dyDescent="0.35">
      <c r="A306">
        <v>3468</v>
      </c>
      <c r="B306" t="s">
        <v>128</v>
      </c>
    </row>
    <row r="307" spans="1:2" x14ac:dyDescent="0.35">
      <c r="A307">
        <v>3489</v>
      </c>
      <c r="B307" t="s">
        <v>128</v>
      </c>
    </row>
    <row r="308" spans="1:2" x14ac:dyDescent="0.35">
      <c r="A308">
        <v>3564</v>
      </c>
      <c r="B308" t="s">
        <v>128</v>
      </c>
    </row>
    <row r="309" spans="1:2" x14ac:dyDescent="0.35">
      <c r="A309">
        <v>3631</v>
      </c>
      <c r="B309" t="s">
        <v>128</v>
      </c>
    </row>
    <row r="310" spans="1:2" x14ac:dyDescent="0.35">
      <c r="A310">
        <v>3758</v>
      </c>
      <c r="B310" t="s">
        <v>128</v>
      </c>
    </row>
    <row r="311" spans="1:2" x14ac:dyDescent="0.35">
      <c r="A311">
        <v>3761</v>
      </c>
      <c r="B311" t="s">
        <v>128</v>
      </c>
    </row>
    <row r="312" spans="1:2" x14ac:dyDescent="0.35">
      <c r="A312">
        <v>3133</v>
      </c>
      <c r="B312" t="s">
        <v>188</v>
      </c>
    </row>
    <row r="313" spans="1:2" x14ac:dyDescent="0.35">
      <c r="A313">
        <v>3183</v>
      </c>
      <c r="B313" t="s">
        <v>188</v>
      </c>
    </row>
    <row r="314" spans="1:2" x14ac:dyDescent="0.35">
      <c r="A314">
        <v>3188</v>
      </c>
      <c r="B314" t="s">
        <v>188</v>
      </c>
    </row>
    <row r="315" spans="1:2" x14ac:dyDescent="0.35">
      <c r="A315">
        <v>3218</v>
      </c>
      <c r="B315" t="s">
        <v>188</v>
      </c>
    </row>
    <row r="316" spans="1:2" x14ac:dyDescent="0.35">
      <c r="A316">
        <v>3222</v>
      </c>
      <c r="B316" t="s">
        <v>188</v>
      </c>
    </row>
    <row r="317" spans="1:2" x14ac:dyDescent="0.35">
      <c r="A317">
        <v>3239</v>
      </c>
      <c r="B317" t="s">
        <v>188</v>
      </c>
    </row>
    <row r="318" spans="1:2" x14ac:dyDescent="0.35">
      <c r="A318">
        <v>3415</v>
      </c>
      <c r="B318" t="s">
        <v>188</v>
      </c>
    </row>
    <row r="319" spans="1:2" x14ac:dyDescent="0.35">
      <c r="A319">
        <v>3416</v>
      </c>
      <c r="B319" t="s">
        <v>188</v>
      </c>
    </row>
    <row r="320" spans="1:2" x14ac:dyDescent="0.35">
      <c r="A320">
        <v>3580</v>
      </c>
      <c r="B320" t="s">
        <v>188</v>
      </c>
    </row>
    <row r="321" spans="1:2" x14ac:dyDescent="0.35">
      <c r="A321">
        <v>3583</v>
      </c>
      <c r="B321" t="s">
        <v>188</v>
      </c>
    </row>
    <row r="322" spans="1:2" x14ac:dyDescent="0.35">
      <c r="A322">
        <v>3585</v>
      </c>
      <c r="B322" t="s">
        <v>188</v>
      </c>
    </row>
    <row r="323" spans="1:2" x14ac:dyDescent="0.35">
      <c r="A323">
        <v>3586</v>
      </c>
      <c r="B323" t="s">
        <v>188</v>
      </c>
    </row>
    <row r="324" spans="1:2" x14ac:dyDescent="0.35">
      <c r="A324">
        <v>3588</v>
      </c>
      <c r="B324" t="s">
        <v>188</v>
      </c>
    </row>
    <row r="325" spans="1:2" x14ac:dyDescent="0.35">
      <c r="A325">
        <v>3589</v>
      </c>
      <c r="B325" t="s">
        <v>188</v>
      </c>
    </row>
    <row r="326" spans="1:2" x14ac:dyDescent="0.35">
      <c r="A326">
        <v>3590</v>
      </c>
      <c r="B326" t="s">
        <v>188</v>
      </c>
    </row>
    <row r="327" spans="1:2" x14ac:dyDescent="0.35">
      <c r="A327">
        <v>3591</v>
      </c>
      <c r="B327" t="s">
        <v>188</v>
      </c>
    </row>
    <row r="328" spans="1:2" x14ac:dyDescent="0.35">
      <c r="A328">
        <v>3747</v>
      </c>
      <c r="B328" t="s">
        <v>188</v>
      </c>
    </row>
    <row r="329" spans="1:2" x14ac:dyDescent="0.35">
      <c r="A329">
        <v>3805</v>
      </c>
      <c r="B329" t="s">
        <v>188</v>
      </c>
    </row>
    <row r="330" spans="1:2" x14ac:dyDescent="0.35">
      <c r="A330">
        <v>3812</v>
      </c>
      <c r="B330" t="s">
        <v>188</v>
      </c>
    </row>
    <row r="331" spans="1:2" x14ac:dyDescent="0.35">
      <c r="A331">
        <v>3815</v>
      </c>
      <c r="B331" t="s">
        <v>188</v>
      </c>
    </row>
    <row r="332" spans="1:2" x14ac:dyDescent="0.35">
      <c r="A332">
        <v>3819</v>
      </c>
      <c r="B332" t="s">
        <v>188</v>
      </c>
    </row>
    <row r="333" spans="1:2" x14ac:dyDescent="0.35">
      <c r="A333">
        <v>3117</v>
      </c>
      <c r="B333" t="s">
        <v>178</v>
      </c>
    </row>
    <row r="334" spans="1:2" x14ac:dyDescent="0.35">
      <c r="A334">
        <v>3182</v>
      </c>
      <c r="B334" t="s">
        <v>178</v>
      </c>
    </row>
    <row r="335" spans="1:2" x14ac:dyDescent="0.35">
      <c r="A335">
        <v>3185</v>
      </c>
      <c r="B335" t="s">
        <v>178</v>
      </c>
    </row>
    <row r="336" spans="1:2" x14ac:dyDescent="0.35">
      <c r="A336">
        <v>3347</v>
      </c>
      <c r="B336" t="s">
        <v>178</v>
      </c>
    </row>
    <row r="337" spans="1:2" x14ac:dyDescent="0.35">
      <c r="A337">
        <v>3348</v>
      </c>
      <c r="B337" t="s">
        <v>178</v>
      </c>
    </row>
    <row r="338" spans="1:2" x14ac:dyDescent="0.35">
      <c r="A338">
        <v>3349</v>
      </c>
      <c r="B338" t="s">
        <v>178</v>
      </c>
    </row>
    <row r="339" spans="1:2" x14ac:dyDescent="0.35">
      <c r="A339">
        <v>3351</v>
      </c>
      <c r="B339" t="s">
        <v>178</v>
      </c>
    </row>
    <row r="340" spans="1:2" x14ac:dyDescent="0.35">
      <c r="A340">
        <v>3354</v>
      </c>
      <c r="B340" t="s">
        <v>178</v>
      </c>
    </row>
    <row r="341" spans="1:2" x14ac:dyDescent="0.35">
      <c r="A341">
        <v>3355</v>
      </c>
      <c r="B341" t="s">
        <v>178</v>
      </c>
    </row>
    <row r="342" spans="1:2" x14ac:dyDescent="0.35">
      <c r="A342">
        <v>3356</v>
      </c>
      <c r="B342" t="s">
        <v>178</v>
      </c>
    </row>
    <row r="343" spans="1:2" x14ac:dyDescent="0.35">
      <c r="A343">
        <v>3359</v>
      </c>
      <c r="B343" t="s">
        <v>178</v>
      </c>
    </row>
    <row r="344" spans="1:2" x14ac:dyDescent="0.35">
      <c r="A344">
        <v>3362</v>
      </c>
      <c r="B344" t="s">
        <v>178</v>
      </c>
    </row>
    <row r="345" spans="1:2" x14ac:dyDescent="0.35">
      <c r="A345">
        <v>3364</v>
      </c>
      <c r="B345" t="s">
        <v>178</v>
      </c>
    </row>
    <row r="346" spans="1:2" x14ac:dyDescent="0.35">
      <c r="A346">
        <v>3365</v>
      </c>
      <c r="B346" t="s">
        <v>178</v>
      </c>
    </row>
    <row r="347" spans="1:2" x14ac:dyDescent="0.35">
      <c r="A347">
        <v>3367</v>
      </c>
      <c r="B347" t="s">
        <v>178</v>
      </c>
    </row>
    <row r="348" spans="1:2" x14ac:dyDescent="0.35">
      <c r="A348">
        <v>3700</v>
      </c>
      <c r="B348" t="s">
        <v>178</v>
      </c>
    </row>
    <row r="349" spans="1:2" x14ac:dyDescent="0.35">
      <c r="A349">
        <v>3701</v>
      </c>
      <c r="B349" t="s">
        <v>178</v>
      </c>
    </row>
    <row r="350" spans="1:2" x14ac:dyDescent="0.35">
      <c r="A350">
        <v>3702</v>
      </c>
      <c r="B350" t="s">
        <v>178</v>
      </c>
    </row>
    <row r="351" spans="1:2" x14ac:dyDescent="0.35">
      <c r="A351">
        <v>3705</v>
      </c>
      <c r="B351" t="s">
        <v>178</v>
      </c>
    </row>
    <row r="352" spans="1:2" x14ac:dyDescent="0.35">
      <c r="A352">
        <v>3709</v>
      </c>
      <c r="B352" t="s">
        <v>178</v>
      </c>
    </row>
    <row r="353" spans="1:2" x14ac:dyDescent="0.35">
      <c r="A353">
        <v>3715</v>
      </c>
      <c r="B353" t="s">
        <v>178</v>
      </c>
    </row>
    <row r="354" spans="1:2" x14ac:dyDescent="0.35">
      <c r="A354">
        <v>3315</v>
      </c>
      <c r="B354" t="s">
        <v>139</v>
      </c>
    </row>
    <row r="355" spans="1:2" x14ac:dyDescent="0.35">
      <c r="A355">
        <v>3317</v>
      </c>
      <c r="B355" t="s">
        <v>139</v>
      </c>
    </row>
    <row r="356" spans="1:2" x14ac:dyDescent="0.35">
      <c r="A356">
        <v>3319</v>
      </c>
      <c r="B356" t="s">
        <v>139</v>
      </c>
    </row>
    <row r="357" spans="1:2" x14ac:dyDescent="0.35">
      <c r="A357">
        <v>3320</v>
      </c>
      <c r="B357" t="s">
        <v>139</v>
      </c>
    </row>
    <row r="358" spans="1:2" x14ac:dyDescent="0.35">
      <c r="A358">
        <v>3323</v>
      </c>
      <c r="B358" t="s">
        <v>139</v>
      </c>
    </row>
    <row r="359" spans="1:2" x14ac:dyDescent="0.35">
      <c r="A359">
        <v>3324</v>
      </c>
      <c r="B359" t="s">
        <v>139</v>
      </c>
    </row>
    <row r="360" spans="1:2" x14ac:dyDescent="0.35">
      <c r="A360">
        <v>3368</v>
      </c>
      <c r="B360" t="s">
        <v>139</v>
      </c>
    </row>
    <row r="361" spans="1:2" x14ac:dyDescent="0.35">
      <c r="A361">
        <v>3372</v>
      </c>
      <c r="B361" t="s">
        <v>139</v>
      </c>
    </row>
    <row r="362" spans="1:2" x14ac:dyDescent="0.35">
      <c r="A362">
        <v>3373</v>
      </c>
      <c r="B362" t="s">
        <v>139</v>
      </c>
    </row>
    <row r="363" spans="1:2" x14ac:dyDescent="0.35">
      <c r="A363">
        <v>3375</v>
      </c>
      <c r="B363" t="s">
        <v>139</v>
      </c>
    </row>
    <row r="364" spans="1:2" x14ac:dyDescent="0.35">
      <c r="A364">
        <v>3376</v>
      </c>
      <c r="B364" t="s">
        <v>139</v>
      </c>
    </row>
    <row r="365" spans="1:2" x14ac:dyDescent="0.35">
      <c r="A365">
        <v>3377</v>
      </c>
      <c r="B365" t="s">
        <v>139</v>
      </c>
    </row>
    <row r="366" spans="1:2" x14ac:dyDescent="0.35">
      <c r="A366">
        <v>3386</v>
      </c>
      <c r="B366" t="s">
        <v>139</v>
      </c>
    </row>
    <row r="367" spans="1:2" x14ac:dyDescent="0.35">
      <c r="A367">
        <v>3492</v>
      </c>
      <c r="B367" t="s">
        <v>139</v>
      </c>
    </row>
    <row r="368" spans="1:2" x14ac:dyDescent="0.35">
      <c r="A368">
        <v>3494</v>
      </c>
      <c r="B368" t="s">
        <v>139</v>
      </c>
    </row>
    <row r="369" spans="1:2" x14ac:dyDescent="0.35">
      <c r="A369">
        <v>3513</v>
      </c>
      <c r="B369" t="s">
        <v>139</v>
      </c>
    </row>
    <row r="370" spans="1:2" x14ac:dyDescent="0.35">
      <c r="A370">
        <v>3516</v>
      </c>
      <c r="B370" t="s">
        <v>139</v>
      </c>
    </row>
    <row r="371" spans="1:2" x14ac:dyDescent="0.35">
      <c r="A371">
        <v>3759</v>
      </c>
      <c r="B371" t="s">
        <v>139</v>
      </c>
    </row>
    <row r="372" spans="1:2" x14ac:dyDescent="0.35">
      <c r="A372">
        <v>3764</v>
      </c>
      <c r="B372" t="s">
        <v>139</v>
      </c>
    </row>
    <row r="373" spans="1:2" x14ac:dyDescent="0.35">
      <c r="A373">
        <v>3766</v>
      </c>
      <c r="B373" t="s">
        <v>139</v>
      </c>
    </row>
    <row r="374" spans="1:2" x14ac:dyDescent="0.35">
      <c r="A374">
        <v>3262</v>
      </c>
      <c r="B374" t="s">
        <v>152</v>
      </c>
    </row>
    <row r="375" spans="1:2" x14ac:dyDescent="0.35">
      <c r="A375">
        <v>3270</v>
      </c>
      <c r="B375" t="s">
        <v>152</v>
      </c>
    </row>
    <row r="376" spans="1:2" x14ac:dyDescent="0.35">
      <c r="A376">
        <v>3313</v>
      </c>
      <c r="B376" t="s">
        <v>152</v>
      </c>
    </row>
    <row r="377" spans="1:2" x14ac:dyDescent="0.35">
      <c r="A377">
        <v>3325</v>
      </c>
      <c r="B377" t="s">
        <v>152</v>
      </c>
    </row>
    <row r="378" spans="1:2" x14ac:dyDescent="0.35">
      <c r="A378">
        <v>3334</v>
      </c>
      <c r="B378" t="s">
        <v>152</v>
      </c>
    </row>
    <row r="379" spans="1:2" x14ac:dyDescent="0.35">
      <c r="A379">
        <v>3389</v>
      </c>
      <c r="B379" t="s">
        <v>152</v>
      </c>
    </row>
    <row r="380" spans="1:2" x14ac:dyDescent="0.35">
      <c r="A380">
        <v>3390</v>
      </c>
      <c r="B380" t="s">
        <v>152</v>
      </c>
    </row>
    <row r="381" spans="1:2" x14ac:dyDescent="0.35">
      <c r="A381">
        <v>3400</v>
      </c>
      <c r="B381" t="s">
        <v>152</v>
      </c>
    </row>
    <row r="382" spans="1:2" x14ac:dyDescent="0.35">
      <c r="A382">
        <v>3404</v>
      </c>
      <c r="B382" t="s">
        <v>152</v>
      </c>
    </row>
    <row r="383" spans="1:2" x14ac:dyDescent="0.35">
      <c r="A383">
        <v>3408</v>
      </c>
      <c r="B383" t="s">
        <v>152</v>
      </c>
    </row>
    <row r="384" spans="1:2" x14ac:dyDescent="0.35">
      <c r="A384">
        <v>3560</v>
      </c>
      <c r="B384" t="s">
        <v>152</v>
      </c>
    </row>
    <row r="385" spans="1:2" x14ac:dyDescent="0.35">
      <c r="A385">
        <v>3566</v>
      </c>
      <c r="B385" t="s">
        <v>152</v>
      </c>
    </row>
    <row r="386" spans="1:2" x14ac:dyDescent="0.35">
      <c r="A386">
        <v>3576</v>
      </c>
      <c r="B386" t="s">
        <v>152</v>
      </c>
    </row>
    <row r="387" spans="1:2" x14ac:dyDescent="0.35">
      <c r="A387">
        <v>3578</v>
      </c>
      <c r="B387" t="s">
        <v>152</v>
      </c>
    </row>
    <row r="388" spans="1:2" x14ac:dyDescent="0.35">
      <c r="A388">
        <v>3579</v>
      </c>
      <c r="B388" t="s">
        <v>152</v>
      </c>
    </row>
    <row r="389" spans="1:2" x14ac:dyDescent="0.35">
      <c r="A389">
        <v>3170</v>
      </c>
      <c r="B389" t="s">
        <v>169</v>
      </c>
    </row>
    <row r="390" spans="1:2" x14ac:dyDescent="0.35">
      <c r="A390">
        <v>3256</v>
      </c>
      <c r="B390" t="s">
        <v>169</v>
      </c>
    </row>
    <row r="391" spans="1:2" x14ac:dyDescent="0.35">
      <c r="A391">
        <v>3259</v>
      </c>
      <c r="B391" t="s">
        <v>169</v>
      </c>
    </row>
    <row r="392" spans="1:2" x14ac:dyDescent="0.35">
      <c r="A392">
        <v>3260</v>
      </c>
      <c r="B392" t="s">
        <v>169</v>
      </c>
    </row>
    <row r="393" spans="1:2" x14ac:dyDescent="0.35">
      <c r="A393">
        <v>3261</v>
      </c>
      <c r="B393" t="s">
        <v>169</v>
      </c>
    </row>
    <row r="394" spans="1:2" x14ac:dyDescent="0.35">
      <c r="A394">
        <v>3318</v>
      </c>
      <c r="B394" t="s">
        <v>169</v>
      </c>
    </row>
    <row r="395" spans="1:2" x14ac:dyDescent="0.35">
      <c r="A395">
        <v>3327</v>
      </c>
      <c r="B395" t="s">
        <v>169</v>
      </c>
    </row>
    <row r="396" spans="1:2" x14ac:dyDescent="0.35">
      <c r="A396">
        <v>3332</v>
      </c>
      <c r="B396" t="s">
        <v>169</v>
      </c>
    </row>
    <row r="397" spans="1:2" x14ac:dyDescent="0.35">
      <c r="A397">
        <v>3337</v>
      </c>
      <c r="B397" t="s">
        <v>169</v>
      </c>
    </row>
    <row r="398" spans="1:2" x14ac:dyDescent="0.35">
      <c r="A398">
        <v>3342</v>
      </c>
      <c r="B398" t="s">
        <v>169</v>
      </c>
    </row>
    <row r="399" spans="1:2" x14ac:dyDescent="0.35">
      <c r="A399">
        <v>3345</v>
      </c>
      <c r="B399" t="s">
        <v>169</v>
      </c>
    </row>
    <row r="400" spans="1:2" x14ac:dyDescent="0.35">
      <c r="A400">
        <v>3397</v>
      </c>
      <c r="B400" t="s">
        <v>169</v>
      </c>
    </row>
    <row r="401" spans="1:2" x14ac:dyDescent="0.35">
      <c r="A401">
        <v>3555</v>
      </c>
      <c r="B401" t="s">
        <v>169</v>
      </c>
    </row>
    <row r="402" spans="1:2" x14ac:dyDescent="0.35">
      <c r="A402">
        <v>3558</v>
      </c>
      <c r="B402" t="s">
        <v>169</v>
      </c>
    </row>
    <row r="403" spans="1:2" x14ac:dyDescent="0.35">
      <c r="A403">
        <v>3561</v>
      </c>
      <c r="B403" t="s">
        <v>169</v>
      </c>
    </row>
    <row r="404" spans="1:2" x14ac:dyDescent="0.35">
      <c r="A404">
        <v>3562</v>
      </c>
      <c r="B404" t="s">
        <v>169</v>
      </c>
    </row>
    <row r="405" spans="1:2" x14ac:dyDescent="0.35">
      <c r="A405">
        <v>3565</v>
      </c>
      <c r="B405" t="s">
        <v>169</v>
      </c>
    </row>
    <row r="406" spans="1:2" x14ac:dyDescent="0.35">
      <c r="A406">
        <v>3575</v>
      </c>
      <c r="B406" t="s">
        <v>169</v>
      </c>
    </row>
    <row r="407" spans="1:2" x14ac:dyDescent="0.35">
      <c r="A407">
        <v>3577</v>
      </c>
      <c r="B407" t="s">
        <v>169</v>
      </c>
    </row>
    <row r="408" spans="1:2" x14ac:dyDescent="0.35">
      <c r="A408">
        <v>3083</v>
      </c>
      <c r="B408" t="s">
        <v>132</v>
      </c>
    </row>
    <row r="409" spans="1:2" x14ac:dyDescent="0.35">
      <c r="A409">
        <v>3084</v>
      </c>
      <c r="B409" t="s">
        <v>132</v>
      </c>
    </row>
    <row r="410" spans="1:2" x14ac:dyDescent="0.35">
      <c r="A410">
        <v>3152</v>
      </c>
      <c r="B410" t="s">
        <v>132</v>
      </c>
    </row>
    <row r="411" spans="1:2" x14ac:dyDescent="0.35">
      <c r="A411">
        <v>3180</v>
      </c>
      <c r="B411" t="s">
        <v>132</v>
      </c>
    </row>
    <row r="412" spans="1:2" x14ac:dyDescent="0.35">
      <c r="A412">
        <v>3280</v>
      </c>
      <c r="B412" t="s">
        <v>132</v>
      </c>
    </row>
    <row r="413" spans="1:2" x14ac:dyDescent="0.35">
      <c r="A413">
        <v>3292</v>
      </c>
      <c r="B413" t="s">
        <v>132</v>
      </c>
    </row>
    <row r="414" spans="1:2" x14ac:dyDescent="0.35">
      <c r="A414">
        <v>3301</v>
      </c>
      <c r="B414" t="s">
        <v>132</v>
      </c>
    </row>
    <row r="415" spans="1:2" x14ac:dyDescent="0.35">
      <c r="A415">
        <v>3308</v>
      </c>
      <c r="B415" t="s">
        <v>132</v>
      </c>
    </row>
    <row r="416" spans="1:2" x14ac:dyDescent="0.35">
      <c r="A416">
        <v>3310</v>
      </c>
      <c r="B416" t="s">
        <v>132</v>
      </c>
    </row>
    <row r="417" spans="1:2" x14ac:dyDescent="0.35">
      <c r="A417">
        <v>3314</v>
      </c>
      <c r="B417" t="s">
        <v>132</v>
      </c>
    </row>
    <row r="418" spans="1:2" x14ac:dyDescent="0.35">
      <c r="A418">
        <v>3442</v>
      </c>
      <c r="B418" t="s">
        <v>132</v>
      </c>
    </row>
    <row r="419" spans="1:2" x14ac:dyDescent="0.35">
      <c r="A419">
        <v>3626</v>
      </c>
      <c r="B419" t="s">
        <v>132</v>
      </c>
    </row>
    <row r="420" spans="1:2" x14ac:dyDescent="0.35">
      <c r="A420">
        <v>3627</v>
      </c>
      <c r="B420" t="s">
        <v>132</v>
      </c>
    </row>
    <row r="421" spans="1:2" x14ac:dyDescent="0.35">
      <c r="A421">
        <v>3780</v>
      </c>
      <c r="B421" t="s">
        <v>132</v>
      </c>
    </row>
    <row r="422" spans="1:2" x14ac:dyDescent="0.35">
      <c r="A422">
        <v>3205</v>
      </c>
      <c r="B422" t="s">
        <v>164</v>
      </c>
    </row>
    <row r="423" spans="1:2" x14ac:dyDescent="0.35">
      <c r="A423">
        <v>3209</v>
      </c>
      <c r="B423" t="s">
        <v>164</v>
      </c>
    </row>
    <row r="424" spans="1:2" x14ac:dyDescent="0.35">
      <c r="A424">
        <v>3211</v>
      </c>
      <c r="B424" t="s">
        <v>164</v>
      </c>
    </row>
    <row r="425" spans="1:2" x14ac:dyDescent="0.35">
      <c r="A425">
        <v>3214</v>
      </c>
      <c r="B425" t="s">
        <v>164</v>
      </c>
    </row>
    <row r="426" spans="1:2" x14ac:dyDescent="0.35">
      <c r="A426">
        <v>3215</v>
      </c>
      <c r="B426" t="s">
        <v>164</v>
      </c>
    </row>
    <row r="427" spans="1:2" x14ac:dyDescent="0.35">
      <c r="A427">
        <v>3322</v>
      </c>
      <c r="B427" t="s">
        <v>164</v>
      </c>
    </row>
    <row r="428" spans="1:2" x14ac:dyDescent="0.35">
      <c r="A428">
        <v>3473</v>
      </c>
      <c r="B428" t="s">
        <v>164</v>
      </c>
    </row>
    <row r="429" spans="1:2" x14ac:dyDescent="0.35">
      <c r="A429">
        <v>3477</v>
      </c>
      <c r="B429" t="s">
        <v>164</v>
      </c>
    </row>
    <row r="430" spans="1:2" x14ac:dyDescent="0.35">
      <c r="A430">
        <v>3480</v>
      </c>
      <c r="B430" t="s">
        <v>164</v>
      </c>
    </row>
    <row r="431" spans="1:2" x14ac:dyDescent="0.35">
      <c r="A431">
        <v>3543</v>
      </c>
      <c r="B431" t="s">
        <v>164</v>
      </c>
    </row>
    <row r="432" spans="1:2" x14ac:dyDescent="0.35">
      <c r="A432">
        <v>3545</v>
      </c>
      <c r="B432" t="s">
        <v>164</v>
      </c>
    </row>
    <row r="433" spans="1:2" x14ac:dyDescent="0.35">
      <c r="A433">
        <v>3552</v>
      </c>
      <c r="B433" t="s">
        <v>164</v>
      </c>
    </row>
    <row r="434" spans="1:2" x14ac:dyDescent="0.35">
      <c r="A434">
        <v>3616</v>
      </c>
      <c r="B434" t="s">
        <v>164</v>
      </c>
    </row>
    <row r="435" spans="1:2" x14ac:dyDescent="0.35">
      <c r="A435">
        <v>3768</v>
      </c>
      <c r="B435" t="s">
        <v>164</v>
      </c>
    </row>
    <row r="436" spans="1:2" x14ac:dyDescent="0.35">
      <c r="A436">
        <v>3093</v>
      </c>
      <c r="B436" t="s">
        <v>158</v>
      </c>
    </row>
    <row r="437" spans="1:2" x14ac:dyDescent="0.35">
      <c r="A437">
        <v>3154</v>
      </c>
      <c r="B437" t="s">
        <v>158</v>
      </c>
    </row>
    <row r="438" spans="1:2" x14ac:dyDescent="0.35">
      <c r="A438">
        <v>3304</v>
      </c>
      <c r="B438" t="s">
        <v>158</v>
      </c>
    </row>
    <row r="439" spans="1:2" x14ac:dyDescent="0.35">
      <c r="A439">
        <v>3306</v>
      </c>
      <c r="B439" t="s">
        <v>158</v>
      </c>
    </row>
    <row r="440" spans="1:2" x14ac:dyDescent="0.35">
      <c r="A440">
        <v>3307</v>
      </c>
      <c r="B440" t="s">
        <v>158</v>
      </c>
    </row>
    <row r="441" spans="1:2" x14ac:dyDescent="0.35">
      <c r="A441">
        <v>3432</v>
      </c>
      <c r="B441" t="s">
        <v>158</v>
      </c>
    </row>
    <row r="442" spans="1:2" x14ac:dyDescent="0.35">
      <c r="A442">
        <v>3440</v>
      </c>
      <c r="B442" t="s">
        <v>158</v>
      </c>
    </row>
    <row r="443" spans="1:2" x14ac:dyDescent="0.35">
      <c r="A443">
        <v>3441</v>
      </c>
      <c r="B443" t="s">
        <v>158</v>
      </c>
    </row>
    <row r="444" spans="1:2" x14ac:dyDescent="0.35">
      <c r="A444">
        <v>3444</v>
      </c>
      <c r="B444" t="s">
        <v>158</v>
      </c>
    </row>
    <row r="445" spans="1:2" x14ac:dyDescent="0.35">
      <c r="A445">
        <v>3487</v>
      </c>
      <c r="B445" t="s">
        <v>158</v>
      </c>
    </row>
    <row r="446" spans="1:2" x14ac:dyDescent="0.35">
      <c r="A446">
        <v>3628</v>
      </c>
      <c r="B446" t="s">
        <v>158</v>
      </c>
    </row>
    <row r="447" spans="1:2" x14ac:dyDescent="0.35">
      <c r="A447">
        <v>3651</v>
      </c>
      <c r="B447" t="s">
        <v>158</v>
      </c>
    </row>
    <row r="448" spans="1:2" x14ac:dyDescent="0.35">
      <c r="A448">
        <v>3657</v>
      </c>
      <c r="B448" t="s">
        <v>158</v>
      </c>
    </row>
    <row r="449" spans="1:2" x14ac:dyDescent="0.35">
      <c r="A449">
        <v>3770</v>
      </c>
      <c r="B449" t="s">
        <v>158</v>
      </c>
    </row>
    <row r="450" spans="1:2" x14ac:dyDescent="0.35">
      <c r="A450">
        <v>3776</v>
      </c>
      <c r="B450" t="s">
        <v>158</v>
      </c>
    </row>
    <row r="451" spans="1:2" x14ac:dyDescent="0.35">
      <c r="A451">
        <v>3821</v>
      </c>
      <c r="B451" t="s">
        <v>158</v>
      </c>
    </row>
    <row r="452" spans="1:2" x14ac:dyDescent="0.35">
      <c r="A452">
        <v>3121</v>
      </c>
      <c r="B452" t="s">
        <v>163</v>
      </c>
    </row>
    <row r="453" spans="1:2" x14ac:dyDescent="0.35">
      <c r="A453">
        <v>3124</v>
      </c>
      <c r="B453" t="s">
        <v>163</v>
      </c>
    </row>
    <row r="454" spans="1:2" x14ac:dyDescent="0.35">
      <c r="A454">
        <v>3127</v>
      </c>
      <c r="B454" t="s">
        <v>163</v>
      </c>
    </row>
    <row r="455" spans="1:2" x14ac:dyDescent="0.35">
      <c r="A455">
        <v>3504</v>
      </c>
      <c r="B455" t="s">
        <v>163</v>
      </c>
    </row>
    <row r="456" spans="1:2" x14ac:dyDescent="0.35">
      <c r="A456">
        <v>3506</v>
      </c>
      <c r="B456" t="s">
        <v>163</v>
      </c>
    </row>
    <row r="457" spans="1:2" x14ac:dyDescent="0.35">
      <c r="A457">
        <v>3508</v>
      </c>
      <c r="B457" t="s">
        <v>163</v>
      </c>
    </row>
    <row r="458" spans="1:2" x14ac:dyDescent="0.35">
      <c r="A458">
        <v>3509</v>
      </c>
      <c r="B458" t="s">
        <v>163</v>
      </c>
    </row>
    <row r="459" spans="1:2" x14ac:dyDescent="0.35">
      <c r="A459">
        <v>3514</v>
      </c>
      <c r="B459" t="s">
        <v>163</v>
      </c>
    </row>
    <row r="460" spans="1:2" x14ac:dyDescent="0.35">
      <c r="A460">
        <v>3515</v>
      </c>
      <c r="B460" t="s">
        <v>163</v>
      </c>
    </row>
    <row r="461" spans="1:2" x14ac:dyDescent="0.35">
      <c r="A461">
        <v>3823</v>
      </c>
      <c r="B461" t="s">
        <v>163</v>
      </c>
    </row>
    <row r="462" spans="1:2" x14ac:dyDescent="0.35">
      <c r="A462">
        <v>3827</v>
      </c>
      <c r="B462" t="s">
        <v>163</v>
      </c>
    </row>
    <row r="463" spans="1:2" x14ac:dyDescent="0.35">
      <c r="A463">
        <v>3838</v>
      </c>
      <c r="B463" t="s">
        <v>163</v>
      </c>
    </row>
    <row r="464" spans="1:2" x14ac:dyDescent="0.35">
      <c r="A464">
        <v>3842</v>
      </c>
      <c r="B464" t="s">
        <v>163</v>
      </c>
    </row>
    <row r="465" spans="1:2" x14ac:dyDescent="0.35">
      <c r="A465">
        <v>3847</v>
      </c>
      <c r="B465" t="s">
        <v>163</v>
      </c>
    </row>
    <row r="466" spans="1:2" x14ac:dyDescent="0.35">
      <c r="A466">
        <v>3281</v>
      </c>
      <c r="B466" t="s">
        <v>170</v>
      </c>
    </row>
    <row r="467" spans="1:2" x14ac:dyDescent="0.35">
      <c r="A467">
        <v>3289</v>
      </c>
      <c r="B467" t="s">
        <v>170</v>
      </c>
    </row>
    <row r="468" spans="1:2" x14ac:dyDescent="0.35">
      <c r="A468">
        <v>3435</v>
      </c>
      <c r="B468" t="s">
        <v>170</v>
      </c>
    </row>
    <row r="469" spans="1:2" x14ac:dyDescent="0.35">
      <c r="A469">
        <v>3436</v>
      </c>
      <c r="B469" t="s">
        <v>170</v>
      </c>
    </row>
    <row r="470" spans="1:2" x14ac:dyDescent="0.35">
      <c r="A470">
        <v>3438</v>
      </c>
      <c r="B470" t="s">
        <v>170</v>
      </c>
    </row>
    <row r="471" spans="1:2" x14ac:dyDescent="0.35">
      <c r="A471">
        <v>3439</v>
      </c>
      <c r="B471" t="s">
        <v>170</v>
      </c>
    </row>
    <row r="472" spans="1:2" x14ac:dyDescent="0.35">
      <c r="A472">
        <v>3443</v>
      </c>
      <c r="B472" t="s">
        <v>170</v>
      </c>
    </row>
    <row r="473" spans="1:2" x14ac:dyDescent="0.35">
      <c r="A473">
        <v>3445</v>
      </c>
      <c r="B473" t="s">
        <v>170</v>
      </c>
    </row>
    <row r="474" spans="1:2" x14ac:dyDescent="0.35">
      <c r="A474">
        <v>3446</v>
      </c>
      <c r="B474" t="s">
        <v>170</v>
      </c>
    </row>
    <row r="475" spans="1:2" x14ac:dyDescent="0.35">
      <c r="A475">
        <v>3471</v>
      </c>
      <c r="B475" t="s">
        <v>170</v>
      </c>
    </row>
    <row r="476" spans="1:2" x14ac:dyDescent="0.35">
      <c r="A476">
        <v>3483</v>
      </c>
      <c r="B476" t="s">
        <v>170</v>
      </c>
    </row>
    <row r="477" spans="1:2" x14ac:dyDescent="0.35">
      <c r="A477">
        <v>3486</v>
      </c>
      <c r="B477" t="s">
        <v>170</v>
      </c>
    </row>
    <row r="478" spans="1:2" x14ac:dyDescent="0.35">
      <c r="A478">
        <v>3693</v>
      </c>
      <c r="B478" t="s">
        <v>170</v>
      </c>
    </row>
    <row r="479" spans="1:2" x14ac:dyDescent="0.35">
      <c r="A479">
        <v>3737</v>
      </c>
      <c r="B479" t="s">
        <v>170</v>
      </c>
    </row>
    <row r="480" spans="1:2" x14ac:dyDescent="0.35">
      <c r="A480">
        <v>3131</v>
      </c>
      <c r="B480" t="s">
        <v>147</v>
      </c>
    </row>
    <row r="481" spans="1:2" x14ac:dyDescent="0.35">
      <c r="A481">
        <v>3132</v>
      </c>
      <c r="B481" t="s">
        <v>147</v>
      </c>
    </row>
    <row r="482" spans="1:2" x14ac:dyDescent="0.35">
      <c r="A482">
        <v>3138</v>
      </c>
      <c r="B482" t="s">
        <v>147</v>
      </c>
    </row>
    <row r="483" spans="1:2" x14ac:dyDescent="0.35">
      <c r="A483">
        <v>3139</v>
      </c>
      <c r="B483" t="s">
        <v>147</v>
      </c>
    </row>
    <row r="484" spans="1:2" x14ac:dyDescent="0.35">
      <c r="A484">
        <v>3193</v>
      </c>
      <c r="B484" t="s">
        <v>147</v>
      </c>
    </row>
    <row r="485" spans="1:2" x14ac:dyDescent="0.35">
      <c r="A485">
        <v>3220</v>
      </c>
      <c r="B485" t="s">
        <v>147</v>
      </c>
    </row>
    <row r="486" spans="1:2" x14ac:dyDescent="0.35">
      <c r="A486">
        <v>3235</v>
      </c>
      <c r="B486" t="s">
        <v>147</v>
      </c>
    </row>
    <row r="487" spans="1:2" x14ac:dyDescent="0.35">
      <c r="A487">
        <v>3236</v>
      </c>
      <c r="B487" t="s">
        <v>147</v>
      </c>
    </row>
    <row r="488" spans="1:2" x14ac:dyDescent="0.35">
      <c r="A488">
        <v>3243</v>
      </c>
      <c r="B488" t="s">
        <v>147</v>
      </c>
    </row>
    <row r="489" spans="1:2" x14ac:dyDescent="0.35">
      <c r="A489">
        <v>3253</v>
      </c>
      <c r="B489" t="s">
        <v>147</v>
      </c>
    </row>
    <row r="490" spans="1:2" x14ac:dyDescent="0.35">
      <c r="A490">
        <v>3254</v>
      </c>
      <c r="B490" t="s">
        <v>147</v>
      </c>
    </row>
    <row r="491" spans="1:2" x14ac:dyDescent="0.35">
      <c r="A491">
        <v>3581</v>
      </c>
      <c r="B491" t="s">
        <v>147</v>
      </c>
    </row>
    <row r="492" spans="1:2" x14ac:dyDescent="0.35">
      <c r="A492">
        <v>3582</v>
      </c>
      <c r="B492" t="s">
        <v>147</v>
      </c>
    </row>
    <row r="493" spans="1:2" x14ac:dyDescent="0.35">
      <c r="A493">
        <v>3584</v>
      </c>
      <c r="B493" t="s">
        <v>147</v>
      </c>
    </row>
    <row r="494" spans="1:2" x14ac:dyDescent="0.35">
      <c r="A494">
        <v>3587</v>
      </c>
      <c r="B494" t="s">
        <v>147</v>
      </c>
    </row>
    <row r="495" spans="1:2" x14ac:dyDescent="0.35">
      <c r="A495">
        <v>3595</v>
      </c>
      <c r="B495" t="s">
        <v>147</v>
      </c>
    </row>
    <row r="496" spans="1:2" x14ac:dyDescent="0.35">
      <c r="A496">
        <v>3603</v>
      </c>
      <c r="B496" t="s">
        <v>147</v>
      </c>
    </row>
    <row r="497" spans="1:2" x14ac:dyDescent="0.35">
      <c r="A497">
        <v>3620</v>
      </c>
      <c r="B497" t="s">
        <v>147</v>
      </c>
    </row>
    <row r="498" spans="1:2" x14ac:dyDescent="0.35">
      <c r="A498">
        <v>3652</v>
      </c>
      <c r="B498" t="s">
        <v>147</v>
      </c>
    </row>
    <row r="499" spans="1:2" x14ac:dyDescent="0.35">
      <c r="A499">
        <v>3686</v>
      </c>
      <c r="B499" t="s">
        <v>147</v>
      </c>
    </row>
    <row r="500" spans="1:2" x14ac:dyDescent="0.35">
      <c r="A500">
        <v>3687</v>
      </c>
      <c r="B500" t="s">
        <v>147</v>
      </c>
    </row>
    <row r="501" spans="1:2" x14ac:dyDescent="0.35">
      <c r="A501">
        <v>3173</v>
      </c>
      <c r="B501" t="s">
        <v>153</v>
      </c>
    </row>
    <row r="502" spans="1:2" x14ac:dyDescent="0.35">
      <c r="A502">
        <v>3255</v>
      </c>
      <c r="B502" t="s">
        <v>153</v>
      </c>
    </row>
    <row r="503" spans="1:2" x14ac:dyDescent="0.35">
      <c r="A503">
        <v>3257</v>
      </c>
      <c r="B503" t="s">
        <v>153</v>
      </c>
    </row>
    <row r="504" spans="1:2" x14ac:dyDescent="0.35">
      <c r="A504">
        <v>3258</v>
      </c>
      <c r="B504" t="s">
        <v>153</v>
      </c>
    </row>
    <row r="505" spans="1:2" x14ac:dyDescent="0.35">
      <c r="A505">
        <v>3265</v>
      </c>
      <c r="B505" t="s">
        <v>153</v>
      </c>
    </row>
    <row r="506" spans="1:2" x14ac:dyDescent="0.35">
      <c r="A506">
        <v>3267</v>
      </c>
      <c r="B506" t="s">
        <v>153</v>
      </c>
    </row>
    <row r="507" spans="1:2" x14ac:dyDescent="0.35">
      <c r="A507">
        <v>3273</v>
      </c>
      <c r="B507" t="s">
        <v>153</v>
      </c>
    </row>
    <row r="508" spans="1:2" x14ac:dyDescent="0.35">
      <c r="A508">
        <v>3329</v>
      </c>
      <c r="B508" t="s">
        <v>153</v>
      </c>
    </row>
    <row r="509" spans="1:2" x14ac:dyDescent="0.35">
      <c r="A509">
        <v>3340</v>
      </c>
      <c r="B509" t="s">
        <v>153</v>
      </c>
    </row>
    <row r="510" spans="1:2" x14ac:dyDescent="0.35">
      <c r="A510">
        <v>3341</v>
      </c>
      <c r="B510" t="s">
        <v>153</v>
      </c>
    </row>
    <row r="511" spans="1:2" x14ac:dyDescent="0.35">
      <c r="A511">
        <v>3392</v>
      </c>
      <c r="B511" t="s">
        <v>153</v>
      </c>
    </row>
    <row r="512" spans="1:2" x14ac:dyDescent="0.35">
      <c r="A512">
        <v>3398</v>
      </c>
      <c r="B512" t="s">
        <v>153</v>
      </c>
    </row>
    <row r="513" spans="1:2" x14ac:dyDescent="0.35">
      <c r="A513">
        <v>3407</v>
      </c>
      <c r="B513" t="s">
        <v>153</v>
      </c>
    </row>
    <row r="514" spans="1:2" x14ac:dyDescent="0.35">
      <c r="A514">
        <v>3559</v>
      </c>
      <c r="B514" t="s">
        <v>153</v>
      </c>
    </row>
    <row r="515" spans="1:2" x14ac:dyDescent="0.35">
      <c r="A515">
        <v>3563</v>
      </c>
      <c r="B515" t="s">
        <v>153</v>
      </c>
    </row>
    <row r="516" spans="1:2" x14ac:dyDescent="0.35">
      <c r="A516">
        <v>3568</v>
      </c>
      <c r="B516" t="s">
        <v>153</v>
      </c>
    </row>
    <row r="517" spans="1:2" x14ac:dyDescent="0.35">
      <c r="A517">
        <v>3206</v>
      </c>
      <c r="B517" t="s">
        <v>141</v>
      </c>
    </row>
    <row r="518" spans="1:2" x14ac:dyDescent="0.35">
      <c r="A518">
        <v>3213</v>
      </c>
      <c r="B518" t="s">
        <v>141</v>
      </c>
    </row>
    <row r="519" spans="1:2" x14ac:dyDescent="0.35">
      <c r="A519">
        <v>3278</v>
      </c>
      <c r="B519" t="s">
        <v>141</v>
      </c>
    </row>
    <row r="520" spans="1:2" x14ac:dyDescent="0.35">
      <c r="A520">
        <v>3472</v>
      </c>
      <c r="B520" t="s">
        <v>141</v>
      </c>
    </row>
    <row r="521" spans="1:2" x14ac:dyDescent="0.35">
      <c r="A521">
        <v>3521</v>
      </c>
      <c r="B521" t="s">
        <v>141</v>
      </c>
    </row>
    <row r="522" spans="1:2" x14ac:dyDescent="0.35">
      <c r="A522">
        <v>3527</v>
      </c>
      <c r="B522" t="s">
        <v>141</v>
      </c>
    </row>
    <row r="523" spans="1:2" x14ac:dyDescent="0.35">
      <c r="A523">
        <v>3530</v>
      </c>
      <c r="B523" t="s">
        <v>141</v>
      </c>
    </row>
    <row r="524" spans="1:2" x14ac:dyDescent="0.35">
      <c r="A524">
        <v>3547</v>
      </c>
      <c r="B524" t="s">
        <v>141</v>
      </c>
    </row>
    <row r="525" spans="1:2" x14ac:dyDescent="0.35">
      <c r="A525">
        <v>3549</v>
      </c>
      <c r="B525" t="s">
        <v>141</v>
      </c>
    </row>
    <row r="526" spans="1:2" x14ac:dyDescent="0.35">
      <c r="A526">
        <v>3551</v>
      </c>
      <c r="B526" t="s">
        <v>141</v>
      </c>
    </row>
    <row r="527" spans="1:2" x14ac:dyDescent="0.35">
      <c r="A527">
        <v>3557</v>
      </c>
      <c r="B527" t="s">
        <v>141</v>
      </c>
    </row>
    <row r="528" spans="1:2" x14ac:dyDescent="0.35">
      <c r="A528">
        <v>3641</v>
      </c>
      <c r="B528" t="s">
        <v>141</v>
      </c>
    </row>
    <row r="529" spans="1:2" x14ac:dyDescent="0.35">
      <c r="A529">
        <v>3647</v>
      </c>
      <c r="B529" t="s">
        <v>141</v>
      </c>
    </row>
    <row r="530" spans="1:2" x14ac:dyDescent="0.35">
      <c r="A530">
        <v>3849</v>
      </c>
      <c r="B530" t="s">
        <v>141</v>
      </c>
    </row>
    <row r="531" spans="1:2" x14ac:dyDescent="0.35">
      <c r="A531">
        <v>3060</v>
      </c>
      <c r="B531" t="s">
        <v>175</v>
      </c>
    </row>
    <row r="532" spans="1:2" x14ac:dyDescent="0.35">
      <c r="A532">
        <v>3068</v>
      </c>
      <c r="B532" t="s">
        <v>175</v>
      </c>
    </row>
    <row r="533" spans="1:2" x14ac:dyDescent="0.35">
      <c r="A533">
        <v>3073</v>
      </c>
      <c r="B533" t="s">
        <v>175</v>
      </c>
    </row>
    <row r="534" spans="1:2" x14ac:dyDescent="0.35">
      <c r="A534">
        <v>3106</v>
      </c>
      <c r="B534" t="s">
        <v>175</v>
      </c>
    </row>
    <row r="535" spans="1:2" x14ac:dyDescent="0.35">
      <c r="A535">
        <v>3448</v>
      </c>
      <c r="B535" t="s">
        <v>175</v>
      </c>
    </row>
    <row r="536" spans="1:2" x14ac:dyDescent="0.35">
      <c r="A536">
        <v>3450</v>
      </c>
      <c r="B536" t="s">
        <v>175</v>
      </c>
    </row>
    <row r="537" spans="1:2" x14ac:dyDescent="0.35">
      <c r="A537">
        <v>3460</v>
      </c>
      <c r="B537" t="s">
        <v>175</v>
      </c>
    </row>
    <row r="538" spans="1:2" x14ac:dyDescent="0.35">
      <c r="A538">
        <v>3464</v>
      </c>
      <c r="B538" t="s">
        <v>175</v>
      </c>
    </row>
    <row r="539" spans="1:2" x14ac:dyDescent="0.35">
      <c r="A539">
        <v>3724</v>
      </c>
      <c r="B539" t="s">
        <v>175</v>
      </c>
    </row>
    <row r="540" spans="1:2" x14ac:dyDescent="0.35">
      <c r="A540">
        <v>3734</v>
      </c>
      <c r="B540" t="s">
        <v>175</v>
      </c>
    </row>
    <row r="541" spans="1:2" x14ac:dyDescent="0.35">
      <c r="A541">
        <v>3784</v>
      </c>
      <c r="B541" t="s">
        <v>175</v>
      </c>
    </row>
    <row r="542" spans="1:2" x14ac:dyDescent="0.35">
      <c r="A542">
        <v>3785</v>
      </c>
      <c r="B542" t="s">
        <v>175</v>
      </c>
    </row>
    <row r="543" spans="1:2" x14ac:dyDescent="0.35">
      <c r="A543">
        <v>3786</v>
      </c>
      <c r="B543" t="s">
        <v>175</v>
      </c>
    </row>
    <row r="544" spans="1:2" x14ac:dyDescent="0.35">
      <c r="A544">
        <v>3789</v>
      </c>
      <c r="B544" t="s">
        <v>175</v>
      </c>
    </row>
    <row r="545" spans="1:2" x14ac:dyDescent="0.35">
      <c r="A545">
        <v>3797</v>
      </c>
      <c r="B545" t="s">
        <v>175</v>
      </c>
    </row>
    <row r="546" spans="1:2" x14ac:dyDescent="0.35">
      <c r="A546">
        <v>3803</v>
      </c>
      <c r="B546" t="s">
        <v>175</v>
      </c>
    </row>
    <row r="547" spans="1:2" x14ac:dyDescent="0.35">
      <c r="A547">
        <v>3517</v>
      </c>
      <c r="B547" t="s">
        <v>142</v>
      </c>
    </row>
    <row r="548" spans="1:2" x14ac:dyDescent="0.35">
      <c r="A548">
        <v>3518</v>
      </c>
      <c r="B548" t="s">
        <v>142</v>
      </c>
    </row>
    <row r="549" spans="1:2" x14ac:dyDescent="0.35">
      <c r="A549">
        <v>3520</v>
      </c>
      <c r="B549" t="s">
        <v>142</v>
      </c>
    </row>
    <row r="550" spans="1:2" x14ac:dyDescent="0.35">
      <c r="A550">
        <v>3522</v>
      </c>
      <c r="B550" t="s">
        <v>142</v>
      </c>
    </row>
    <row r="551" spans="1:2" x14ac:dyDescent="0.35">
      <c r="A551">
        <v>3523</v>
      </c>
      <c r="B551" t="s">
        <v>142</v>
      </c>
    </row>
    <row r="552" spans="1:2" x14ac:dyDescent="0.35">
      <c r="A552">
        <v>3524</v>
      </c>
      <c r="B552" t="s">
        <v>142</v>
      </c>
    </row>
    <row r="553" spans="1:2" x14ac:dyDescent="0.35">
      <c r="A553">
        <v>3525</v>
      </c>
      <c r="B553" t="s">
        <v>142</v>
      </c>
    </row>
    <row r="554" spans="1:2" x14ac:dyDescent="0.35">
      <c r="A554">
        <v>3528</v>
      </c>
      <c r="B554" t="s">
        <v>142</v>
      </c>
    </row>
    <row r="555" spans="1:2" x14ac:dyDescent="0.35">
      <c r="A555">
        <v>3638</v>
      </c>
      <c r="B555" t="s">
        <v>142</v>
      </c>
    </row>
    <row r="556" spans="1:2" x14ac:dyDescent="0.35">
      <c r="A556">
        <v>3639</v>
      </c>
      <c r="B556" t="s">
        <v>142</v>
      </c>
    </row>
    <row r="557" spans="1:2" x14ac:dyDescent="0.35">
      <c r="A557">
        <v>3642</v>
      </c>
      <c r="B557" t="s">
        <v>142</v>
      </c>
    </row>
    <row r="558" spans="1:2" x14ac:dyDescent="0.35">
      <c r="A558">
        <v>3643</v>
      </c>
      <c r="B558" t="s">
        <v>142</v>
      </c>
    </row>
    <row r="559" spans="1:2" x14ac:dyDescent="0.35">
      <c r="A559">
        <v>3646</v>
      </c>
      <c r="B559" t="s">
        <v>142</v>
      </c>
    </row>
    <row r="560" spans="1:2" x14ac:dyDescent="0.35">
      <c r="A560">
        <v>3843</v>
      </c>
      <c r="B560" t="s">
        <v>142</v>
      </c>
    </row>
    <row r="561" spans="1:2" x14ac:dyDescent="0.35">
      <c r="A561">
        <v>3091</v>
      </c>
      <c r="B561" t="s">
        <v>177</v>
      </c>
    </row>
    <row r="562" spans="1:2" x14ac:dyDescent="0.35">
      <c r="A562">
        <v>3149</v>
      </c>
      <c r="B562" t="s">
        <v>177</v>
      </c>
    </row>
    <row r="563" spans="1:2" x14ac:dyDescent="0.35">
      <c r="A563">
        <v>3156</v>
      </c>
      <c r="B563" t="s">
        <v>177</v>
      </c>
    </row>
    <row r="564" spans="1:2" x14ac:dyDescent="0.35">
      <c r="A564">
        <v>3157</v>
      </c>
      <c r="B564" t="s">
        <v>177</v>
      </c>
    </row>
    <row r="565" spans="1:2" x14ac:dyDescent="0.35">
      <c r="A565">
        <v>3226</v>
      </c>
      <c r="B565" t="s">
        <v>177</v>
      </c>
    </row>
    <row r="566" spans="1:2" x14ac:dyDescent="0.35">
      <c r="A566">
        <v>3229</v>
      </c>
      <c r="B566" t="s">
        <v>177</v>
      </c>
    </row>
    <row r="567" spans="1:2" x14ac:dyDescent="0.35">
      <c r="A567">
        <v>3297</v>
      </c>
      <c r="B567" t="s">
        <v>177</v>
      </c>
    </row>
    <row r="568" spans="1:2" x14ac:dyDescent="0.35">
      <c r="A568">
        <v>3299</v>
      </c>
      <c r="B568" t="s">
        <v>177</v>
      </c>
    </row>
    <row r="569" spans="1:2" x14ac:dyDescent="0.35">
      <c r="A569">
        <v>3434</v>
      </c>
      <c r="B569" t="s">
        <v>177</v>
      </c>
    </row>
    <row r="570" spans="1:2" x14ac:dyDescent="0.35">
      <c r="A570">
        <v>3498</v>
      </c>
      <c r="B570" t="s">
        <v>177</v>
      </c>
    </row>
    <row r="571" spans="1:2" x14ac:dyDescent="0.35">
      <c r="A571">
        <v>3499</v>
      </c>
      <c r="B571" t="s">
        <v>177</v>
      </c>
    </row>
    <row r="572" spans="1:2" x14ac:dyDescent="0.35">
      <c r="A572">
        <v>3554</v>
      </c>
      <c r="B572" t="s">
        <v>177</v>
      </c>
    </row>
    <row r="573" spans="1:2" x14ac:dyDescent="0.35">
      <c r="A573">
        <v>3629</v>
      </c>
      <c r="B573" t="s">
        <v>177</v>
      </c>
    </row>
    <row r="574" spans="1:2" x14ac:dyDescent="0.35">
      <c r="A574">
        <v>3633</v>
      </c>
      <c r="B574" t="s">
        <v>177</v>
      </c>
    </row>
    <row r="575" spans="1:2" x14ac:dyDescent="0.35">
      <c r="A575">
        <v>3658</v>
      </c>
      <c r="B575" t="s">
        <v>177</v>
      </c>
    </row>
    <row r="576" spans="1:2" x14ac:dyDescent="0.35">
      <c r="A576">
        <v>3688</v>
      </c>
      <c r="B576" t="s">
        <v>177</v>
      </c>
    </row>
    <row r="577" spans="1:2" x14ac:dyDescent="0.35">
      <c r="A577">
        <v>3689</v>
      </c>
      <c r="B577" t="s">
        <v>177</v>
      </c>
    </row>
    <row r="578" spans="1:2" x14ac:dyDescent="0.35">
      <c r="A578">
        <v>3692</v>
      </c>
      <c r="B578" t="s">
        <v>177</v>
      </c>
    </row>
    <row r="579" spans="1:2" x14ac:dyDescent="0.35">
      <c r="A579">
        <v>3771</v>
      </c>
      <c r="B579" t="s">
        <v>177</v>
      </c>
    </row>
    <row r="580" spans="1:2" x14ac:dyDescent="0.35">
      <c r="A580">
        <v>3829</v>
      </c>
      <c r="B580" t="s">
        <v>177</v>
      </c>
    </row>
    <row r="581" spans="1:2" x14ac:dyDescent="0.35">
      <c r="A581">
        <v>3268</v>
      </c>
      <c r="B581" t="s">
        <v>179</v>
      </c>
    </row>
    <row r="582" spans="1:2" x14ac:dyDescent="0.35">
      <c r="A582">
        <v>3326</v>
      </c>
      <c r="B582" t="s">
        <v>179</v>
      </c>
    </row>
    <row r="583" spans="1:2" x14ac:dyDescent="0.35">
      <c r="A583">
        <v>3328</v>
      </c>
      <c r="B583" t="s">
        <v>179</v>
      </c>
    </row>
    <row r="584" spans="1:2" x14ac:dyDescent="0.35">
      <c r="A584">
        <v>3331</v>
      </c>
      <c r="B584" t="s">
        <v>179</v>
      </c>
    </row>
    <row r="585" spans="1:2" x14ac:dyDescent="0.35">
      <c r="A585">
        <v>3333</v>
      </c>
      <c r="B585" t="s">
        <v>179</v>
      </c>
    </row>
    <row r="586" spans="1:2" x14ac:dyDescent="0.35">
      <c r="A586">
        <v>3339</v>
      </c>
      <c r="B586" t="s">
        <v>179</v>
      </c>
    </row>
    <row r="587" spans="1:2" x14ac:dyDescent="0.35">
      <c r="A587">
        <v>3388</v>
      </c>
      <c r="B587" t="s">
        <v>179</v>
      </c>
    </row>
    <row r="588" spans="1:2" x14ac:dyDescent="0.35">
      <c r="A588">
        <v>3544</v>
      </c>
      <c r="B588" t="s">
        <v>179</v>
      </c>
    </row>
    <row r="589" spans="1:2" x14ac:dyDescent="0.35">
      <c r="A589">
        <v>3569</v>
      </c>
      <c r="B589" t="s">
        <v>179</v>
      </c>
    </row>
    <row r="590" spans="1:2" x14ac:dyDescent="0.35">
      <c r="A590">
        <v>3572</v>
      </c>
      <c r="B590" t="s">
        <v>179</v>
      </c>
    </row>
    <row r="591" spans="1:2" x14ac:dyDescent="0.35">
      <c r="A591">
        <v>3574</v>
      </c>
      <c r="B591" t="s">
        <v>179</v>
      </c>
    </row>
    <row r="592" spans="1:2" x14ac:dyDescent="0.35">
      <c r="A592">
        <v>3635</v>
      </c>
      <c r="B592" t="s">
        <v>179</v>
      </c>
    </row>
    <row r="593" spans="1:2" x14ac:dyDescent="0.35">
      <c r="A593">
        <v>3691</v>
      </c>
      <c r="B593" t="s">
        <v>179</v>
      </c>
    </row>
    <row r="594" spans="1:2" x14ac:dyDescent="0.35">
      <c r="A594">
        <v>3832</v>
      </c>
      <c r="B594" t="s">
        <v>179</v>
      </c>
    </row>
    <row r="595" spans="1:2" x14ac:dyDescent="0.35">
      <c r="A595">
        <v>3189</v>
      </c>
      <c r="B595" t="s">
        <v>167</v>
      </c>
    </row>
    <row r="596" spans="1:2" x14ac:dyDescent="0.35">
      <c r="A596">
        <v>3346</v>
      </c>
      <c r="B596" t="s">
        <v>167</v>
      </c>
    </row>
    <row r="597" spans="1:2" x14ac:dyDescent="0.35">
      <c r="A597">
        <v>3350</v>
      </c>
      <c r="B597" t="s">
        <v>167</v>
      </c>
    </row>
    <row r="598" spans="1:2" x14ac:dyDescent="0.35">
      <c r="A598">
        <v>3352</v>
      </c>
      <c r="B598" t="s">
        <v>167</v>
      </c>
    </row>
    <row r="599" spans="1:2" x14ac:dyDescent="0.35">
      <c r="A599">
        <v>3353</v>
      </c>
      <c r="B599" t="s">
        <v>167</v>
      </c>
    </row>
    <row r="600" spans="1:2" x14ac:dyDescent="0.35">
      <c r="A600">
        <v>3357</v>
      </c>
      <c r="B600" t="s">
        <v>167</v>
      </c>
    </row>
    <row r="601" spans="1:2" x14ac:dyDescent="0.35">
      <c r="A601">
        <v>3358</v>
      </c>
      <c r="B601" t="s">
        <v>167</v>
      </c>
    </row>
    <row r="602" spans="1:2" x14ac:dyDescent="0.35">
      <c r="A602">
        <v>3360</v>
      </c>
      <c r="B602" t="s">
        <v>167</v>
      </c>
    </row>
    <row r="603" spans="1:2" x14ac:dyDescent="0.35">
      <c r="A603">
        <v>3361</v>
      </c>
      <c r="B603" t="s">
        <v>167</v>
      </c>
    </row>
    <row r="604" spans="1:2" x14ac:dyDescent="0.35">
      <c r="A604">
        <v>3363</v>
      </c>
      <c r="B604" t="s">
        <v>167</v>
      </c>
    </row>
    <row r="605" spans="1:2" x14ac:dyDescent="0.35">
      <c r="A605">
        <v>3366</v>
      </c>
      <c r="B605" t="s">
        <v>167</v>
      </c>
    </row>
    <row r="606" spans="1:2" x14ac:dyDescent="0.35">
      <c r="A606">
        <v>3699</v>
      </c>
      <c r="B606" t="s">
        <v>167</v>
      </c>
    </row>
    <row r="607" spans="1:2" x14ac:dyDescent="0.35">
      <c r="A607">
        <v>3708</v>
      </c>
      <c r="B607" t="s">
        <v>167</v>
      </c>
    </row>
    <row r="608" spans="1:2" x14ac:dyDescent="0.35">
      <c r="A608">
        <v>3713</v>
      </c>
      <c r="B608" t="s">
        <v>167</v>
      </c>
    </row>
    <row r="609" spans="1:2" x14ac:dyDescent="0.35">
      <c r="A609">
        <v>3150</v>
      </c>
      <c r="B609" t="s">
        <v>149</v>
      </c>
    </row>
    <row r="610" spans="1:2" x14ac:dyDescent="0.35">
      <c r="A610">
        <v>3232</v>
      </c>
      <c r="B610" t="s">
        <v>149</v>
      </c>
    </row>
    <row r="611" spans="1:2" x14ac:dyDescent="0.35">
      <c r="A611">
        <v>3336</v>
      </c>
      <c r="B611" t="s">
        <v>149</v>
      </c>
    </row>
    <row r="612" spans="1:2" x14ac:dyDescent="0.35">
      <c r="A612">
        <v>3433</v>
      </c>
      <c r="B612" t="s">
        <v>149</v>
      </c>
    </row>
    <row r="613" spans="1:2" x14ac:dyDescent="0.35">
      <c r="A613">
        <v>3550</v>
      </c>
      <c r="B613" t="s">
        <v>149</v>
      </c>
    </row>
    <row r="614" spans="1:2" x14ac:dyDescent="0.35">
      <c r="A614">
        <v>3553</v>
      </c>
      <c r="B614" t="s">
        <v>149</v>
      </c>
    </row>
    <row r="615" spans="1:2" x14ac:dyDescent="0.35">
      <c r="A615">
        <v>3630</v>
      </c>
      <c r="B615" t="s">
        <v>149</v>
      </c>
    </row>
    <row r="616" spans="1:2" x14ac:dyDescent="0.35">
      <c r="A616">
        <v>3636</v>
      </c>
      <c r="B616" t="s">
        <v>149</v>
      </c>
    </row>
    <row r="617" spans="1:2" x14ac:dyDescent="0.35">
      <c r="A617">
        <v>3673</v>
      </c>
      <c r="B617" t="s">
        <v>149</v>
      </c>
    </row>
    <row r="618" spans="1:2" x14ac:dyDescent="0.35">
      <c r="A618">
        <v>3739</v>
      </c>
      <c r="B618" t="s">
        <v>149</v>
      </c>
    </row>
    <row r="619" spans="1:2" x14ac:dyDescent="0.35">
      <c r="A619">
        <v>3774</v>
      </c>
      <c r="B619" t="s">
        <v>149</v>
      </c>
    </row>
    <row r="620" spans="1:2" x14ac:dyDescent="0.35">
      <c r="A620">
        <v>3777</v>
      </c>
      <c r="B620" t="s">
        <v>149</v>
      </c>
    </row>
    <row r="621" spans="1:2" x14ac:dyDescent="0.35">
      <c r="A621">
        <v>3781</v>
      </c>
      <c r="B621" t="s">
        <v>149</v>
      </c>
    </row>
    <row r="622" spans="1:2" x14ac:dyDescent="0.35">
      <c r="A622">
        <v>3782</v>
      </c>
      <c r="B622" t="s">
        <v>149</v>
      </c>
    </row>
    <row r="623" spans="1:2" x14ac:dyDescent="0.35">
      <c r="A623">
        <v>3831</v>
      </c>
      <c r="B623" t="s">
        <v>149</v>
      </c>
    </row>
    <row r="624" spans="1:2" x14ac:dyDescent="0.35">
      <c r="A624">
        <v>3122</v>
      </c>
      <c r="B624" t="s">
        <v>181</v>
      </c>
    </row>
    <row r="625" spans="1:2" x14ac:dyDescent="0.35">
      <c r="A625">
        <v>3126</v>
      </c>
      <c r="B625" t="s">
        <v>181</v>
      </c>
    </row>
    <row r="626" spans="1:2" x14ac:dyDescent="0.35">
      <c r="A626">
        <v>3184</v>
      </c>
      <c r="B626" t="s">
        <v>181</v>
      </c>
    </row>
    <row r="627" spans="1:2" x14ac:dyDescent="0.35">
      <c r="A627">
        <v>3191</v>
      </c>
      <c r="B627" t="s">
        <v>181</v>
      </c>
    </row>
    <row r="628" spans="1:2" x14ac:dyDescent="0.35">
      <c r="A628">
        <v>3196</v>
      </c>
      <c r="B628" t="s">
        <v>181</v>
      </c>
    </row>
    <row r="629" spans="1:2" x14ac:dyDescent="0.35">
      <c r="A629">
        <v>3197</v>
      </c>
      <c r="B629" t="s">
        <v>181</v>
      </c>
    </row>
    <row r="630" spans="1:2" x14ac:dyDescent="0.35">
      <c r="A630">
        <v>3200</v>
      </c>
      <c r="B630" t="s">
        <v>181</v>
      </c>
    </row>
    <row r="631" spans="1:2" x14ac:dyDescent="0.35">
      <c r="A631">
        <v>3420</v>
      </c>
      <c r="B631" t="s">
        <v>181</v>
      </c>
    </row>
    <row r="632" spans="1:2" x14ac:dyDescent="0.35">
      <c r="A632">
        <v>3511</v>
      </c>
      <c r="B632" t="s">
        <v>181</v>
      </c>
    </row>
    <row r="633" spans="1:2" x14ac:dyDescent="0.35">
      <c r="A633">
        <v>3697</v>
      </c>
      <c r="B633" t="s">
        <v>181</v>
      </c>
    </row>
    <row r="634" spans="1:2" x14ac:dyDescent="0.35">
      <c r="A634">
        <v>3703</v>
      </c>
      <c r="B634" t="s">
        <v>181</v>
      </c>
    </row>
    <row r="635" spans="1:2" x14ac:dyDescent="0.35">
      <c r="A635">
        <v>3707</v>
      </c>
      <c r="B635" t="s">
        <v>181</v>
      </c>
    </row>
    <row r="636" spans="1:2" x14ac:dyDescent="0.35">
      <c r="A636">
        <v>3711</v>
      </c>
      <c r="B636" t="s">
        <v>181</v>
      </c>
    </row>
    <row r="637" spans="1:2" x14ac:dyDescent="0.35">
      <c r="A637">
        <v>3824</v>
      </c>
      <c r="B637" t="s">
        <v>181</v>
      </c>
    </row>
    <row r="638" spans="1:2" x14ac:dyDescent="0.35">
      <c r="A638">
        <v>3153</v>
      </c>
      <c r="B638" t="s">
        <v>156</v>
      </c>
    </row>
    <row r="639" spans="1:2" x14ac:dyDescent="0.35">
      <c r="A639">
        <v>3204</v>
      </c>
      <c r="B639" t="s">
        <v>156</v>
      </c>
    </row>
    <row r="640" spans="1:2" x14ac:dyDescent="0.35">
      <c r="A640">
        <v>3275</v>
      </c>
      <c r="B640" t="s">
        <v>156</v>
      </c>
    </row>
    <row r="641" spans="1:2" x14ac:dyDescent="0.35">
      <c r="A641">
        <v>3283</v>
      </c>
      <c r="B641" t="s">
        <v>156</v>
      </c>
    </row>
    <row r="642" spans="1:2" x14ac:dyDescent="0.35">
      <c r="A642">
        <v>3285</v>
      </c>
      <c r="B642" t="s">
        <v>156</v>
      </c>
    </row>
    <row r="643" spans="1:2" x14ac:dyDescent="0.35">
      <c r="A643">
        <v>3287</v>
      </c>
      <c r="B643" t="s">
        <v>156</v>
      </c>
    </row>
    <row r="644" spans="1:2" x14ac:dyDescent="0.35">
      <c r="A644">
        <v>3653</v>
      </c>
      <c r="B644" t="s">
        <v>156</v>
      </c>
    </row>
    <row r="645" spans="1:2" x14ac:dyDescent="0.35">
      <c r="A645">
        <v>3664</v>
      </c>
      <c r="B645" t="s">
        <v>156</v>
      </c>
    </row>
    <row r="646" spans="1:2" x14ac:dyDescent="0.35">
      <c r="A646">
        <v>3665</v>
      </c>
      <c r="B646" t="s">
        <v>156</v>
      </c>
    </row>
    <row r="647" spans="1:2" x14ac:dyDescent="0.35">
      <c r="A647">
        <v>3666</v>
      </c>
      <c r="B647" t="s">
        <v>156</v>
      </c>
    </row>
    <row r="648" spans="1:2" x14ac:dyDescent="0.35">
      <c r="A648">
        <v>3670</v>
      </c>
      <c r="B648" t="s">
        <v>156</v>
      </c>
    </row>
    <row r="649" spans="1:2" x14ac:dyDescent="0.35">
      <c r="A649">
        <v>3672</v>
      </c>
      <c r="B649" t="s">
        <v>156</v>
      </c>
    </row>
    <row r="650" spans="1:2" x14ac:dyDescent="0.35">
      <c r="A650">
        <v>3675</v>
      </c>
      <c r="B650" t="s">
        <v>156</v>
      </c>
    </row>
    <row r="651" spans="1:2" x14ac:dyDescent="0.35">
      <c r="A651">
        <v>3676</v>
      </c>
      <c r="B651" t="s">
        <v>156</v>
      </c>
    </row>
    <row r="652" spans="1:2" x14ac:dyDescent="0.35">
      <c r="A652">
        <v>3678</v>
      </c>
      <c r="B652" t="s">
        <v>156</v>
      </c>
    </row>
    <row r="653" spans="1:2" x14ac:dyDescent="0.35">
      <c r="A653">
        <v>3679</v>
      </c>
      <c r="B653" t="s">
        <v>156</v>
      </c>
    </row>
    <row r="654" spans="1:2" x14ac:dyDescent="0.35">
      <c r="A654">
        <v>3680</v>
      </c>
      <c r="B654" t="s">
        <v>156</v>
      </c>
    </row>
    <row r="655" spans="1:2" x14ac:dyDescent="0.35">
      <c r="A655">
        <v>3682</v>
      </c>
      <c r="B655" t="s">
        <v>156</v>
      </c>
    </row>
    <row r="656" spans="1:2" x14ac:dyDescent="0.35">
      <c r="A656">
        <v>3683</v>
      </c>
      <c r="B656" t="s">
        <v>156</v>
      </c>
    </row>
    <row r="657" spans="1:2" x14ac:dyDescent="0.35">
      <c r="A657">
        <v>3685</v>
      </c>
      <c r="B657" t="s">
        <v>156</v>
      </c>
    </row>
    <row r="658" spans="1:2" x14ac:dyDescent="0.35">
      <c r="A658">
        <v>3830</v>
      </c>
      <c r="B658" t="s">
        <v>156</v>
      </c>
    </row>
    <row r="659" spans="1:2" x14ac:dyDescent="0.35">
      <c r="A659">
        <v>3129</v>
      </c>
      <c r="B659" t="s">
        <v>185</v>
      </c>
    </row>
    <row r="660" spans="1:2" x14ac:dyDescent="0.35">
      <c r="A660">
        <v>3136</v>
      </c>
      <c r="B660" t="s">
        <v>185</v>
      </c>
    </row>
    <row r="661" spans="1:2" x14ac:dyDescent="0.35">
      <c r="A661">
        <v>3142</v>
      </c>
      <c r="B661" t="s">
        <v>185</v>
      </c>
    </row>
    <row r="662" spans="1:2" x14ac:dyDescent="0.35">
      <c r="A662">
        <v>3144</v>
      </c>
      <c r="B662" t="s">
        <v>185</v>
      </c>
    </row>
    <row r="663" spans="1:2" x14ac:dyDescent="0.35">
      <c r="A663">
        <v>3146</v>
      </c>
      <c r="B663" t="s">
        <v>185</v>
      </c>
    </row>
    <row r="664" spans="1:2" x14ac:dyDescent="0.35">
      <c r="A664">
        <v>3190</v>
      </c>
      <c r="B664" t="s">
        <v>185</v>
      </c>
    </row>
    <row r="665" spans="1:2" x14ac:dyDescent="0.35">
      <c r="A665">
        <v>3223</v>
      </c>
      <c r="B665" t="s">
        <v>185</v>
      </c>
    </row>
    <row r="666" spans="1:2" x14ac:dyDescent="0.35">
      <c r="A666">
        <v>3224</v>
      </c>
      <c r="B666" t="s">
        <v>185</v>
      </c>
    </row>
    <row r="667" spans="1:2" x14ac:dyDescent="0.35">
      <c r="A667">
        <v>3241</v>
      </c>
      <c r="B667" t="s">
        <v>185</v>
      </c>
    </row>
    <row r="668" spans="1:2" x14ac:dyDescent="0.35">
      <c r="A668">
        <v>3423</v>
      </c>
      <c r="B668" t="s">
        <v>185</v>
      </c>
    </row>
    <row r="669" spans="1:2" x14ac:dyDescent="0.35">
      <c r="A669">
        <v>3425</v>
      </c>
      <c r="B669" t="s">
        <v>185</v>
      </c>
    </row>
    <row r="670" spans="1:2" x14ac:dyDescent="0.35">
      <c r="A670">
        <v>3426</v>
      </c>
      <c r="B670" t="s">
        <v>185</v>
      </c>
    </row>
    <row r="671" spans="1:2" x14ac:dyDescent="0.35">
      <c r="A671">
        <v>3427</v>
      </c>
      <c r="B671" t="s">
        <v>185</v>
      </c>
    </row>
    <row r="672" spans="1:2" x14ac:dyDescent="0.35">
      <c r="A672">
        <v>3428</v>
      </c>
      <c r="B672" t="s">
        <v>185</v>
      </c>
    </row>
    <row r="673" spans="1:2" x14ac:dyDescent="0.35">
      <c r="A673">
        <v>3596</v>
      </c>
      <c r="B673" t="s">
        <v>185</v>
      </c>
    </row>
    <row r="674" spans="1:2" x14ac:dyDescent="0.35">
      <c r="A674">
        <v>3597</v>
      </c>
      <c r="B674" t="s">
        <v>185</v>
      </c>
    </row>
    <row r="675" spans="1:2" x14ac:dyDescent="0.35">
      <c r="A675">
        <v>3614</v>
      </c>
      <c r="B675" t="s">
        <v>185</v>
      </c>
    </row>
    <row r="676" spans="1:2" x14ac:dyDescent="0.35">
      <c r="A676">
        <v>3704</v>
      </c>
      <c r="B676" t="s">
        <v>185</v>
      </c>
    </row>
    <row r="677" spans="1:2" x14ac:dyDescent="0.35">
      <c r="A677">
        <v>3811</v>
      </c>
      <c r="B677" t="s">
        <v>185</v>
      </c>
    </row>
    <row r="678" spans="1:2" x14ac:dyDescent="0.35">
      <c r="A678">
        <v>3841</v>
      </c>
      <c r="B678" t="s">
        <v>185</v>
      </c>
    </row>
    <row r="679" spans="1:2" x14ac:dyDescent="0.35">
      <c r="A679">
        <v>3850</v>
      </c>
      <c r="B679" t="s">
        <v>185</v>
      </c>
    </row>
    <row r="680" spans="1:2" x14ac:dyDescent="0.35">
      <c r="A680">
        <v>3344</v>
      </c>
      <c r="B680" t="s">
        <v>134</v>
      </c>
    </row>
    <row r="681" spans="1:2" x14ac:dyDescent="0.35">
      <c r="A681">
        <v>3370</v>
      </c>
      <c r="B681" t="s">
        <v>134</v>
      </c>
    </row>
    <row r="682" spans="1:2" x14ac:dyDescent="0.35">
      <c r="A682">
        <v>3371</v>
      </c>
      <c r="B682" t="s">
        <v>134</v>
      </c>
    </row>
    <row r="683" spans="1:2" x14ac:dyDescent="0.35">
      <c r="A683">
        <v>3374</v>
      </c>
      <c r="B683" t="s">
        <v>134</v>
      </c>
    </row>
    <row r="684" spans="1:2" x14ac:dyDescent="0.35">
      <c r="A684">
        <v>3378</v>
      </c>
      <c r="B684" t="s">
        <v>134</v>
      </c>
    </row>
    <row r="685" spans="1:2" x14ac:dyDescent="0.35">
      <c r="A685">
        <v>3380</v>
      </c>
      <c r="B685" t="s">
        <v>134</v>
      </c>
    </row>
    <row r="686" spans="1:2" x14ac:dyDescent="0.35">
      <c r="A686">
        <v>3382</v>
      </c>
      <c r="B686" t="s">
        <v>134</v>
      </c>
    </row>
    <row r="687" spans="1:2" x14ac:dyDescent="0.35">
      <c r="A687">
        <v>3383</v>
      </c>
      <c r="B687" t="s">
        <v>134</v>
      </c>
    </row>
    <row r="688" spans="1:2" x14ac:dyDescent="0.35">
      <c r="A688">
        <v>3384</v>
      </c>
      <c r="B688" t="s">
        <v>134</v>
      </c>
    </row>
    <row r="689" spans="1:2" x14ac:dyDescent="0.35">
      <c r="A689">
        <v>3385</v>
      </c>
      <c r="B689" t="s">
        <v>134</v>
      </c>
    </row>
    <row r="690" spans="1:2" x14ac:dyDescent="0.35">
      <c r="A690">
        <v>3393</v>
      </c>
      <c r="B690" t="s">
        <v>134</v>
      </c>
    </row>
    <row r="691" spans="1:2" x14ac:dyDescent="0.35">
      <c r="A691">
        <v>3394</v>
      </c>
      <c r="B691" t="s">
        <v>134</v>
      </c>
    </row>
    <row r="692" spans="1:2" x14ac:dyDescent="0.35">
      <c r="A692">
        <v>3570</v>
      </c>
      <c r="B692" t="s">
        <v>134</v>
      </c>
    </row>
    <row r="693" spans="1:2" x14ac:dyDescent="0.35">
      <c r="A693">
        <v>3754</v>
      </c>
      <c r="B693" t="s">
        <v>134</v>
      </c>
    </row>
    <row r="694" spans="1:2" x14ac:dyDescent="0.35">
      <c r="A694">
        <v>3081</v>
      </c>
      <c r="B694" t="s">
        <v>123</v>
      </c>
    </row>
    <row r="695" spans="1:2" x14ac:dyDescent="0.35">
      <c r="A695">
        <v>3085</v>
      </c>
      <c r="B695" t="s">
        <v>123</v>
      </c>
    </row>
    <row r="696" spans="1:2" x14ac:dyDescent="0.35">
      <c r="A696">
        <v>3087</v>
      </c>
      <c r="B696" t="s">
        <v>123</v>
      </c>
    </row>
    <row r="697" spans="1:2" x14ac:dyDescent="0.35">
      <c r="A697">
        <v>3090</v>
      </c>
      <c r="B697" t="s">
        <v>123</v>
      </c>
    </row>
    <row r="698" spans="1:2" x14ac:dyDescent="0.35">
      <c r="A698">
        <v>3092</v>
      </c>
      <c r="B698" t="s">
        <v>123</v>
      </c>
    </row>
    <row r="699" spans="1:2" x14ac:dyDescent="0.35">
      <c r="A699">
        <v>3155</v>
      </c>
      <c r="B699" t="s">
        <v>123</v>
      </c>
    </row>
    <row r="700" spans="1:2" x14ac:dyDescent="0.35">
      <c r="A700">
        <v>3210</v>
      </c>
      <c r="B700" t="s">
        <v>123</v>
      </c>
    </row>
    <row r="701" spans="1:2" x14ac:dyDescent="0.35">
      <c r="A701">
        <v>3296</v>
      </c>
      <c r="B701" t="s">
        <v>123</v>
      </c>
    </row>
    <row r="702" spans="1:2" x14ac:dyDescent="0.35">
      <c r="A702">
        <v>3300</v>
      </c>
      <c r="B702" t="s">
        <v>123</v>
      </c>
    </row>
    <row r="703" spans="1:2" x14ac:dyDescent="0.35">
      <c r="A703">
        <v>3303</v>
      </c>
      <c r="B703" t="s">
        <v>123</v>
      </c>
    </row>
    <row r="704" spans="1:2" x14ac:dyDescent="0.35">
      <c r="A704">
        <v>3431</v>
      </c>
      <c r="B704" t="s">
        <v>123</v>
      </c>
    </row>
    <row r="705" spans="1:2" x14ac:dyDescent="0.35">
      <c r="A705">
        <v>3475</v>
      </c>
      <c r="B705" t="s">
        <v>123</v>
      </c>
    </row>
    <row r="706" spans="1:2" x14ac:dyDescent="0.35">
      <c r="A706">
        <v>3493</v>
      </c>
      <c r="B706" t="s">
        <v>123</v>
      </c>
    </row>
    <row r="707" spans="1:2" x14ac:dyDescent="0.35">
      <c r="A707">
        <v>3625</v>
      </c>
      <c r="B707" t="s">
        <v>123</v>
      </c>
    </row>
    <row r="708" spans="1:2" x14ac:dyDescent="0.35">
      <c r="A708">
        <v>3650</v>
      </c>
      <c r="B708" t="s">
        <v>123</v>
      </c>
    </row>
    <row r="709" spans="1:2" x14ac:dyDescent="0.35">
      <c r="A709">
        <v>3655</v>
      </c>
      <c r="B709" t="s">
        <v>123</v>
      </c>
    </row>
    <row r="710" spans="1:2" x14ac:dyDescent="0.35">
      <c r="A710">
        <v>3677</v>
      </c>
      <c r="B710" t="s">
        <v>123</v>
      </c>
    </row>
    <row r="711" spans="1:2" x14ac:dyDescent="0.35">
      <c r="A711">
        <v>3742</v>
      </c>
      <c r="B711" t="s">
        <v>123</v>
      </c>
    </row>
    <row r="712" spans="1:2" x14ac:dyDescent="0.35">
      <c r="A712">
        <v>3743</v>
      </c>
      <c r="B712" t="s">
        <v>123</v>
      </c>
    </row>
    <row r="713" spans="1:2" x14ac:dyDescent="0.35">
      <c r="A713">
        <v>3826</v>
      </c>
      <c r="B713" t="s">
        <v>123</v>
      </c>
    </row>
    <row r="714" spans="1:2" x14ac:dyDescent="0.35">
      <c r="A714">
        <v>3059</v>
      </c>
      <c r="B714" t="s">
        <v>187</v>
      </c>
    </row>
    <row r="715" spans="1:2" x14ac:dyDescent="0.35">
      <c r="A715">
        <v>3097</v>
      </c>
      <c r="B715" t="s">
        <v>187</v>
      </c>
    </row>
    <row r="716" spans="1:2" x14ac:dyDescent="0.35">
      <c r="A716">
        <v>3288</v>
      </c>
      <c r="B716" t="s">
        <v>187</v>
      </c>
    </row>
    <row r="717" spans="1:2" x14ac:dyDescent="0.35">
      <c r="A717">
        <v>3381</v>
      </c>
      <c r="B717" t="s">
        <v>187</v>
      </c>
    </row>
    <row r="718" spans="1:2" x14ac:dyDescent="0.35">
      <c r="A718">
        <v>3447</v>
      </c>
      <c r="B718" t="s">
        <v>187</v>
      </c>
    </row>
    <row r="719" spans="1:2" x14ac:dyDescent="0.35">
      <c r="A719">
        <v>3466</v>
      </c>
      <c r="B719" t="s">
        <v>187</v>
      </c>
    </row>
    <row r="720" spans="1:2" x14ac:dyDescent="0.35">
      <c r="A720">
        <v>3592</v>
      </c>
      <c r="B720" t="s">
        <v>187</v>
      </c>
    </row>
    <row r="721" spans="1:2" x14ac:dyDescent="0.35">
      <c r="A721">
        <v>3721</v>
      </c>
      <c r="B721" t="s">
        <v>187</v>
      </c>
    </row>
    <row r="722" spans="1:2" x14ac:dyDescent="0.35">
      <c r="A722">
        <v>3730</v>
      </c>
      <c r="B722" t="s">
        <v>187</v>
      </c>
    </row>
    <row r="723" spans="1:2" x14ac:dyDescent="0.35">
      <c r="A723">
        <v>3732</v>
      </c>
      <c r="B723" t="s">
        <v>187</v>
      </c>
    </row>
    <row r="724" spans="1:2" x14ac:dyDescent="0.35">
      <c r="A724">
        <v>3735</v>
      </c>
      <c r="B724" t="s">
        <v>187</v>
      </c>
    </row>
    <row r="725" spans="1:2" x14ac:dyDescent="0.35">
      <c r="A725">
        <v>3757</v>
      </c>
      <c r="B725" t="s">
        <v>187</v>
      </c>
    </row>
    <row r="726" spans="1:2" x14ac:dyDescent="0.35">
      <c r="A726">
        <v>3791</v>
      </c>
      <c r="B726" t="s">
        <v>187</v>
      </c>
    </row>
    <row r="727" spans="1:2" x14ac:dyDescent="0.35">
      <c r="A727">
        <v>3800</v>
      </c>
      <c r="B727" t="s">
        <v>187</v>
      </c>
    </row>
    <row r="728" spans="1:2" x14ac:dyDescent="0.35">
      <c r="A728">
        <v>3080</v>
      </c>
      <c r="B728" t="s">
        <v>44</v>
      </c>
    </row>
    <row r="729" spans="1:2" x14ac:dyDescent="0.35">
      <c r="A729">
        <v>3088</v>
      </c>
      <c r="B729" t="s">
        <v>44</v>
      </c>
    </row>
    <row r="730" spans="1:2" x14ac:dyDescent="0.35">
      <c r="A730">
        <v>3089</v>
      </c>
      <c r="B730" t="s">
        <v>44</v>
      </c>
    </row>
    <row r="731" spans="1:2" x14ac:dyDescent="0.35">
      <c r="A731">
        <v>3151</v>
      </c>
      <c r="B731" t="s">
        <v>44</v>
      </c>
    </row>
    <row r="732" spans="1:2" x14ac:dyDescent="0.35">
      <c r="A732">
        <v>3219</v>
      </c>
      <c r="B732" t="s">
        <v>44</v>
      </c>
    </row>
    <row r="733" spans="1:2" x14ac:dyDescent="0.35">
      <c r="A733">
        <v>3221</v>
      </c>
      <c r="B733" t="s">
        <v>44</v>
      </c>
    </row>
    <row r="734" spans="1:2" x14ac:dyDescent="0.35">
      <c r="A734">
        <v>3294</v>
      </c>
      <c r="B734" t="s">
        <v>44</v>
      </c>
    </row>
    <row r="735" spans="1:2" x14ac:dyDescent="0.35">
      <c r="A735">
        <v>3302</v>
      </c>
      <c r="B735" t="s">
        <v>44</v>
      </c>
    </row>
    <row r="736" spans="1:2" x14ac:dyDescent="0.35">
      <c r="A736">
        <v>3305</v>
      </c>
      <c r="B736" t="s">
        <v>44</v>
      </c>
    </row>
    <row r="737" spans="1:2" x14ac:dyDescent="0.35">
      <c r="A737">
        <v>3437</v>
      </c>
      <c r="B737" t="s">
        <v>44</v>
      </c>
    </row>
    <row r="738" spans="1:2" x14ac:dyDescent="0.35">
      <c r="A738">
        <v>3510</v>
      </c>
      <c r="B738" t="s">
        <v>44</v>
      </c>
    </row>
    <row r="739" spans="1:2" x14ac:dyDescent="0.35">
      <c r="A739">
        <v>3654</v>
      </c>
      <c r="B739" t="s">
        <v>44</v>
      </c>
    </row>
    <row r="740" spans="1:2" x14ac:dyDescent="0.35">
      <c r="A740">
        <v>3773</v>
      </c>
      <c r="B740" t="s">
        <v>44</v>
      </c>
    </row>
    <row r="741" spans="1:2" x14ac:dyDescent="0.35">
      <c r="A741">
        <v>3778</v>
      </c>
      <c r="B741" t="s">
        <v>44</v>
      </c>
    </row>
    <row r="742" spans="1:2" x14ac:dyDescent="0.35">
      <c r="A742">
        <v>3779</v>
      </c>
      <c r="B742" t="s">
        <v>44</v>
      </c>
    </row>
    <row r="743" spans="1:2" x14ac:dyDescent="0.35">
      <c r="A743">
        <v>3160</v>
      </c>
      <c r="B743" t="s">
        <v>176</v>
      </c>
    </row>
    <row r="744" spans="1:2" x14ac:dyDescent="0.35">
      <c r="A744">
        <v>3217</v>
      </c>
      <c r="B744" t="s">
        <v>176</v>
      </c>
    </row>
    <row r="745" spans="1:2" x14ac:dyDescent="0.35">
      <c r="A745">
        <v>3295</v>
      </c>
      <c r="B745" t="s">
        <v>176</v>
      </c>
    </row>
    <row r="746" spans="1:2" x14ac:dyDescent="0.35">
      <c r="A746">
        <v>3484</v>
      </c>
      <c r="B746" t="s">
        <v>176</v>
      </c>
    </row>
    <row r="747" spans="1:2" x14ac:dyDescent="0.35">
      <c r="A747">
        <v>3488</v>
      </c>
      <c r="B747" t="s">
        <v>176</v>
      </c>
    </row>
    <row r="748" spans="1:2" x14ac:dyDescent="0.35">
      <c r="A748">
        <v>3532</v>
      </c>
      <c r="B748" t="s">
        <v>176</v>
      </c>
    </row>
    <row r="749" spans="1:2" x14ac:dyDescent="0.35">
      <c r="A749">
        <v>3536</v>
      </c>
      <c r="B749" t="s">
        <v>176</v>
      </c>
    </row>
    <row r="750" spans="1:2" x14ac:dyDescent="0.35">
      <c r="A750">
        <v>3540</v>
      </c>
      <c r="B750" t="s">
        <v>176</v>
      </c>
    </row>
    <row r="751" spans="1:2" x14ac:dyDescent="0.35">
      <c r="A751">
        <v>3541</v>
      </c>
      <c r="B751" t="s">
        <v>176</v>
      </c>
    </row>
    <row r="752" spans="1:2" x14ac:dyDescent="0.35">
      <c r="A752">
        <v>3542</v>
      </c>
      <c r="B752" t="s">
        <v>176</v>
      </c>
    </row>
    <row r="753" spans="1:2" x14ac:dyDescent="0.35">
      <c r="A753">
        <v>3623</v>
      </c>
      <c r="B753" t="s">
        <v>176</v>
      </c>
    </row>
    <row r="754" spans="1:2" x14ac:dyDescent="0.35">
      <c r="A754">
        <v>3624</v>
      </c>
      <c r="B754" t="s">
        <v>176</v>
      </c>
    </row>
    <row r="755" spans="1:2" x14ac:dyDescent="0.35">
      <c r="A755">
        <v>3656</v>
      </c>
      <c r="B755" t="s">
        <v>176</v>
      </c>
    </row>
    <row r="756" spans="1:2" x14ac:dyDescent="0.35">
      <c r="A756">
        <v>3660</v>
      </c>
      <c r="B756" t="s">
        <v>176</v>
      </c>
    </row>
    <row r="757" spans="1:2" x14ac:dyDescent="0.35">
      <c r="A757">
        <v>3667</v>
      </c>
      <c r="B757" t="s">
        <v>176</v>
      </c>
    </row>
    <row r="758" spans="1:2" x14ac:dyDescent="0.35">
      <c r="A758">
        <v>3740</v>
      </c>
      <c r="B758" t="s">
        <v>176</v>
      </c>
    </row>
    <row r="759" spans="1:2" x14ac:dyDescent="0.35">
      <c r="A759">
        <v>3745</v>
      </c>
      <c r="B759" t="s">
        <v>176</v>
      </c>
    </row>
    <row r="760" spans="1:2" x14ac:dyDescent="0.35">
      <c r="A760">
        <v>3749</v>
      </c>
      <c r="B760" t="s">
        <v>176</v>
      </c>
    </row>
    <row r="761" spans="1:2" x14ac:dyDescent="0.35">
      <c r="A761">
        <v>3828</v>
      </c>
      <c r="B761" t="s">
        <v>176</v>
      </c>
    </row>
    <row r="762" spans="1:2" x14ac:dyDescent="0.35">
      <c r="A762">
        <v>3834</v>
      </c>
      <c r="B762" t="s">
        <v>176</v>
      </c>
    </row>
    <row r="763" spans="1:2" x14ac:dyDescent="0.35">
      <c r="A763">
        <v>3066</v>
      </c>
      <c r="B763" t="s">
        <v>136</v>
      </c>
    </row>
    <row r="764" spans="1:2" x14ac:dyDescent="0.35">
      <c r="A764">
        <v>3130</v>
      </c>
      <c r="B764" t="s">
        <v>136</v>
      </c>
    </row>
    <row r="765" spans="1:2" x14ac:dyDescent="0.35">
      <c r="A765">
        <v>3137</v>
      </c>
      <c r="B765" t="s">
        <v>136</v>
      </c>
    </row>
    <row r="766" spans="1:2" x14ac:dyDescent="0.35">
      <c r="A766">
        <v>3237</v>
      </c>
      <c r="B766" t="s">
        <v>136</v>
      </c>
    </row>
    <row r="767" spans="1:2" x14ac:dyDescent="0.35">
      <c r="A767">
        <v>3240</v>
      </c>
      <c r="B767" t="s">
        <v>136</v>
      </c>
    </row>
    <row r="768" spans="1:2" x14ac:dyDescent="0.35">
      <c r="A768">
        <v>3252</v>
      </c>
      <c r="B768" t="s">
        <v>136</v>
      </c>
    </row>
    <row r="769" spans="1:2" x14ac:dyDescent="0.35">
      <c r="A769">
        <v>3421</v>
      </c>
      <c r="B769" t="s">
        <v>136</v>
      </c>
    </row>
    <row r="770" spans="1:2" x14ac:dyDescent="0.35">
      <c r="A770">
        <v>3422</v>
      </c>
      <c r="B770" t="s">
        <v>136</v>
      </c>
    </row>
    <row r="771" spans="1:2" x14ac:dyDescent="0.35">
      <c r="A771">
        <v>3424</v>
      </c>
      <c r="B771" t="s">
        <v>136</v>
      </c>
    </row>
    <row r="772" spans="1:2" x14ac:dyDescent="0.35">
      <c r="A772">
        <v>3429</v>
      </c>
      <c r="B772" t="s">
        <v>136</v>
      </c>
    </row>
    <row r="773" spans="1:2" x14ac:dyDescent="0.35">
      <c r="A773">
        <v>3430</v>
      </c>
      <c r="B773" t="s">
        <v>136</v>
      </c>
    </row>
    <row r="774" spans="1:2" x14ac:dyDescent="0.35">
      <c r="A774">
        <v>3601</v>
      </c>
      <c r="B774" t="s">
        <v>136</v>
      </c>
    </row>
    <row r="775" spans="1:2" x14ac:dyDescent="0.35">
      <c r="A775">
        <v>3611</v>
      </c>
      <c r="B775" t="s">
        <v>136</v>
      </c>
    </row>
    <row r="776" spans="1:2" x14ac:dyDescent="0.35">
      <c r="A776">
        <v>3619</v>
      </c>
      <c r="B776" t="s">
        <v>136</v>
      </c>
    </row>
    <row r="777" spans="1:2" x14ac:dyDescent="0.35">
      <c r="A777">
        <v>3684</v>
      </c>
      <c r="B777" t="s">
        <v>136</v>
      </c>
    </row>
    <row r="778" spans="1:2" x14ac:dyDescent="0.35">
      <c r="A778">
        <v>3694</v>
      </c>
      <c r="B778" t="s">
        <v>136</v>
      </c>
    </row>
    <row r="779" spans="1:2" x14ac:dyDescent="0.35">
      <c r="A779">
        <v>3696</v>
      </c>
      <c r="B779" t="s">
        <v>136</v>
      </c>
    </row>
    <row r="780" spans="1:2" x14ac:dyDescent="0.35">
      <c r="A780">
        <v>3808</v>
      </c>
      <c r="B780" t="s">
        <v>136</v>
      </c>
    </row>
    <row r="781" spans="1:2" x14ac:dyDescent="0.35">
      <c r="A781">
        <v>3839</v>
      </c>
      <c r="B781" t="s">
        <v>136</v>
      </c>
    </row>
    <row r="782" spans="1:2" x14ac:dyDescent="0.35">
      <c r="A782">
        <v>3840</v>
      </c>
      <c r="B782" t="s">
        <v>136</v>
      </c>
    </row>
    <row r="783" spans="1:2" x14ac:dyDescent="0.35">
      <c r="A783">
        <v>3844</v>
      </c>
      <c r="B783" t="s">
        <v>136</v>
      </c>
    </row>
    <row r="784" spans="1:2" x14ac:dyDescent="0.35">
      <c r="A784">
        <v>3115</v>
      </c>
      <c r="B784" t="s">
        <v>47</v>
      </c>
    </row>
    <row r="785" spans="1:2" x14ac:dyDescent="0.35">
      <c r="A785">
        <v>3116</v>
      </c>
      <c r="B785" t="s">
        <v>47</v>
      </c>
    </row>
    <row r="786" spans="1:2" x14ac:dyDescent="0.35">
      <c r="A786">
        <v>3118</v>
      </c>
      <c r="B786" t="s">
        <v>47</v>
      </c>
    </row>
    <row r="787" spans="1:2" x14ac:dyDescent="0.35">
      <c r="A787">
        <v>3119</v>
      </c>
      <c r="B787" t="s">
        <v>47</v>
      </c>
    </row>
    <row r="788" spans="1:2" x14ac:dyDescent="0.35">
      <c r="A788">
        <v>3120</v>
      </c>
      <c r="B788" t="s">
        <v>47</v>
      </c>
    </row>
    <row r="789" spans="1:2" x14ac:dyDescent="0.35">
      <c r="A789">
        <v>3123</v>
      </c>
      <c r="B789" t="s">
        <v>47</v>
      </c>
    </row>
    <row r="790" spans="1:2" x14ac:dyDescent="0.35">
      <c r="A790">
        <v>3125</v>
      </c>
      <c r="B790" t="s">
        <v>47</v>
      </c>
    </row>
    <row r="791" spans="1:2" x14ac:dyDescent="0.35">
      <c r="A791">
        <v>3128</v>
      </c>
      <c r="B791" t="s">
        <v>47</v>
      </c>
    </row>
    <row r="792" spans="1:2" x14ac:dyDescent="0.35">
      <c r="A792">
        <v>3505</v>
      </c>
      <c r="B792" t="s">
        <v>47</v>
      </c>
    </row>
    <row r="793" spans="1:2" x14ac:dyDescent="0.35">
      <c r="A793">
        <v>3507</v>
      </c>
      <c r="B793" t="s">
        <v>47</v>
      </c>
    </row>
    <row r="794" spans="1:2" x14ac:dyDescent="0.35">
      <c r="A794">
        <v>3512</v>
      </c>
      <c r="B794" t="s">
        <v>47</v>
      </c>
    </row>
    <row r="795" spans="1:2" x14ac:dyDescent="0.35">
      <c r="A795">
        <v>3718</v>
      </c>
      <c r="B795" t="s">
        <v>47</v>
      </c>
    </row>
    <row r="796" spans="1:2" x14ac:dyDescent="0.35">
      <c r="A796">
        <v>3833</v>
      </c>
      <c r="B796" t="s">
        <v>47</v>
      </c>
    </row>
    <row r="797" spans="1:2" x14ac:dyDescent="0.35">
      <c r="A797">
        <v>3835</v>
      </c>
      <c r="B797" t="s">
        <v>47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50"/>
  <sheetViews>
    <sheetView showGridLines="0" topLeftCell="A2" zoomScaleNormal="100" workbookViewId="0">
      <selection activeCell="B23" sqref="B23"/>
    </sheetView>
  </sheetViews>
  <sheetFormatPr defaultRowHeight="14.5" x14ac:dyDescent="0.35"/>
  <cols>
    <col min="1" max="1" width="7.08984375" customWidth="1"/>
    <col min="2" max="2" width="6.54296875" customWidth="1"/>
  </cols>
  <sheetData>
    <row r="1" spans="1:2" s="36" customFormat="1" x14ac:dyDescent="0.35"/>
    <row r="2" spans="1:2" s="36" customFormat="1" x14ac:dyDescent="0.35"/>
    <row r="3" spans="1:2" s="36" customFormat="1" x14ac:dyDescent="0.35"/>
    <row r="4" spans="1:2" s="36" customFormat="1" x14ac:dyDescent="0.35"/>
    <row r="5" spans="1:2" x14ac:dyDescent="0.35">
      <c r="A5" t="s">
        <v>201</v>
      </c>
      <c r="B5" t="s">
        <v>203</v>
      </c>
    </row>
    <row r="6" spans="1:2" x14ac:dyDescent="0.35">
      <c r="A6" t="s">
        <v>173</v>
      </c>
      <c r="B6" t="s">
        <v>205</v>
      </c>
    </row>
    <row r="7" spans="1:2" x14ac:dyDescent="0.35">
      <c r="A7" t="s">
        <v>150</v>
      </c>
      <c r="B7" t="s">
        <v>312</v>
      </c>
    </row>
    <row r="8" spans="1:2" x14ac:dyDescent="0.35">
      <c r="A8" t="s">
        <v>166</v>
      </c>
      <c r="B8" t="s">
        <v>292</v>
      </c>
    </row>
    <row r="9" spans="1:2" x14ac:dyDescent="0.35">
      <c r="A9" t="s">
        <v>138</v>
      </c>
      <c r="B9" t="s">
        <v>232</v>
      </c>
    </row>
    <row r="10" spans="1:2" x14ac:dyDescent="0.35">
      <c r="A10" t="s">
        <v>145</v>
      </c>
      <c r="B10" t="s">
        <v>312</v>
      </c>
    </row>
    <row r="11" spans="1:2" x14ac:dyDescent="0.35">
      <c r="A11" t="s">
        <v>122</v>
      </c>
      <c r="B11" t="s">
        <v>292</v>
      </c>
    </row>
    <row r="12" spans="1:2" x14ac:dyDescent="0.35">
      <c r="A12" t="s">
        <v>125</v>
      </c>
      <c r="B12" t="s">
        <v>208</v>
      </c>
    </row>
    <row r="13" spans="1:2" x14ac:dyDescent="0.35">
      <c r="A13" t="s">
        <v>143</v>
      </c>
      <c r="B13" t="s">
        <v>231</v>
      </c>
    </row>
    <row r="14" spans="1:2" x14ac:dyDescent="0.35">
      <c r="A14" t="s">
        <v>161</v>
      </c>
      <c r="B14" t="s">
        <v>239</v>
      </c>
    </row>
    <row r="15" spans="1:2" x14ac:dyDescent="0.35">
      <c r="A15" t="s">
        <v>159</v>
      </c>
      <c r="B15" t="s">
        <v>231</v>
      </c>
    </row>
    <row r="16" spans="1:2" x14ac:dyDescent="0.35">
      <c r="A16" t="s">
        <v>129</v>
      </c>
      <c r="B16" t="s">
        <v>238</v>
      </c>
    </row>
    <row r="17" spans="1:2" x14ac:dyDescent="0.35">
      <c r="A17" t="s">
        <v>172</v>
      </c>
      <c r="B17" t="s">
        <v>205</v>
      </c>
    </row>
    <row r="18" spans="1:2" x14ac:dyDescent="0.35">
      <c r="A18" t="s">
        <v>154</v>
      </c>
      <c r="B18" t="s">
        <v>313</v>
      </c>
    </row>
    <row r="19" spans="1:2" x14ac:dyDescent="0.35">
      <c r="A19" t="s">
        <v>144</v>
      </c>
      <c r="B19" t="s">
        <v>207</v>
      </c>
    </row>
    <row r="20" spans="1:2" x14ac:dyDescent="0.35">
      <c r="A20" t="s">
        <v>126</v>
      </c>
      <c r="B20" t="s">
        <v>230</v>
      </c>
    </row>
    <row r="21" spans="1:2" x14ac:dyDescent="0.35">
      <c r="A21" t="s">
        <v>128</v>
      </c>
      <c r="B21" t="s">
        <v>238</v>
      </c>
    </row>
    <row r="22" spans="1:2" x14ac:dyDescent="0.35">
      <c r="A22" t="s">
        <v>188</v>
      </c>
      <c r="B22" t="s">
        <v>206</v>
      </c>
    </row>
    <row r="23" spans="1:2" x14ac:dyDescent="0.35">
      <c r="A23" t="s">
        <v>178</v>
      </c>
      <c r="B23" t="s">
        <v>232</v>
      </c>
    </row>
    <row r="24" spans="1:2" x14ac:dyDescent="0.35">
      <c r="A24" t="s">
        <v>139</v>
      </c>
      <c r="B24" t="s">
        <v>232</v>
      </c>
    </row>
    <row r="25" spans="1:2" x14ac:dyDescent="0.35">
      <c r="A25" t="s">
        <v>152</v>
      </c>
      <c r="B25" t="s">
        <v>208</v>
      </c>
    </row>
    <row r="26" spans="1:2" x14ac:dyDescent="0.35">
      <c r="A26" t="s">
        <v>169</v>
      </c>
      <c r="B26" t="s">
        <v>293</v>
      </c>
    </row>
    <row r="27" spans="1:2" x14ac:dyDescent="0.35">
      <c r="A27" t="s">
        <v>132</v>
      </c>
      <c r="B27" t="s">
        <v>292</v>
      </c>
    </row>
    <row r="28" spans="1:2" x14ac:dyDescent="0.35">
      <c r="A28" t="s">
        <v>164</v>
      </c>
      <c r="B28" t="s">
        <v>239</v>
      </c>
    </row>
    <row r="29" spans="1:2" x14ac:dyDescent="0.35">
      <c r="A29" t="s">
        <v>158</v>
      </c>
      <c r="B29" t="s">
        <v>206</v>
      </c>
    </row>
    <row r="30" spans="1:2" x14ac:dyDescent="0.35">
      <c r="A30" t="s">
        <v>163</v>
      </c>
      <c r="B30" t="s">
        <v>293</v>
      </c>
    </row>
    <row r="31" spans="1:2" x14ac:dyDescent="0.35">
      <c r="A31" t="s">
        <v>170</v>
      </c>
      <c r="B31" t="s">
        <v>208</v>
      </c>
    </row>
    <row r="32" spans="1:2" x14ac:dyDescent="0.35">
      <c r="A32" t="s">
        <v>147</v>
      </c>
      <c r="B32" t="s">
        <v>232</v>
      </c>
    </row>
    <row r="33" spans="1:2" x14ac:dyDescent="0.35">
      <c r="A33" t="s">
        <v>153</v>
      </c>
      <c r="B33" t="s">
        <v>208</v>
      </c>
    </row>
    <row r="34" spans="1:2" x14ac:dyDescent="0.35">
      <c r="A34" t="s">
        <v>141</v>
      </c>
      <c r="B34" t="s">
        <v>230</v>
      </c>
    </row>
    <row r="35" spans="1:2" x14ac:dyDescent="0.35">
      <c r="A35" t="s">
        <v>175</v>
      </c>
      <c r="B35" t="s">
        <v>230</v>
      </c>
    </row>
    <row r="36" spans="1:2" x14ac:dyDescent="0.35">
      <c r="A36" t="s">
        <v>142</v>
      </c>
      <c r="B36" t="s">
        <v>230</v>
      </c>
    </row>
    <row r="37" spans="1:2" x14ac:dyDescent="0.35">
      <c r="A37" t="s">
        <v>177</v>
      </c>
      <c r="B37" t="s">
        <v>206</v>
      </c>
    </row>
    <row r="38" spans="1:2" x14ac:dyDescent="0.35">
      <c r="A38" t="s">
        <v>179</v>
      </c>
      <c r="B38" t="s">
        <v>207</v>
      </c>
    </row>
    <row r="39" spans="1:2" x14ac:dyDescent="0.35">
      <c r="A39" t="s">
        <v>167</v>
      </c>
      <c r="B39" t="s">
        <v>313</v>
      </c>
    </row>
    <row r="40" spans="1:2" x14ac:dyDescent="0.35">
      <c r="A40" t="s">
        <v>149</v>
      </c>
      <c r="B40" t="s">
        <v>312</v>
      </c>
    </row>
    <row r="41" spans="1:2" x14ac:dyDescent="0.35">
      <c r="A41" t="s">
        <v>181</v>
      </c>
      <c r="B41" t="s">
        <v>292</v>
      </c>
    </row>
    <row r="42" spans="1:2" x14ac:dyDescent="0.35">
      <c r="A42" t="s">
        <v>156</v>
      </c>
      <c r="B42" t="s">
        <v>230</v>
      </c>
    </row>
    <row r="43" spans="1:2" x14ac:dyDescent="0.35">
      <c r="A43" t="s">
        <v>185</v>
      </c>
      <c r="B43" t="s">
        <v>205</v>
      </c>
    </row>
    <row r="44" spans="1:2" x14ac:dyDescent="0.35">
      <c r="A44" t="s">
        <v>134</v>
      </c>
      <c r="B44" t="s">
        <v>232</v>
      </c>
    </row>
    <row r="45" spans="1:2" x14ac:dyDescent="0.35">
      <c r="A45" t="s">
        <v>123</v>
      </c>
      <c r="B45" t="s">
        <v>293</v>
      </c>
    </row>
    <row r="46" spans="1:2" x14ac:dyDescent="0.35">
      <c r="A46" t="s">
        <v>187</v>
      </c>
      <c r="B46" t="s">
        <v>292</v>
      </c>
    </row>
    <row r="47" spans="1:2" x14ac:dyDescent="0.35">
      <c r="A47" t="s">
        <v>44</v>
      </c>
      <c r="B47" t="s">
        <v>207</v>
      </c>
    </row>
    <row r="48" spans="1:2" x14ac:dyDescent="0.35">
      <c r="A48" t="s">
        <v>176</v>
      </c>
      <c r="B48" t="s">
        <v>207</v>
      </c>
    </row>
    <row r="49" spans="1:2" x14ac:dyDescent="0.35">
      <c r="A49" t="s">
        <v>136</v>
      </c>
      <c r="B49" t="s">
        <v>208</v>
      </c>
    </row>
    <row r="50" spans="1:2" x14ac:dyDescent="0.35">
      <c r="A50" t="s">
        <v>47</v>
      </c>
      <c r="B50" t="s">
        <v>293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E17"/>
  <sheetViews>
    <sheetView showGridLines="0" workbookViewId="0">
      <selection activeCell="E15" sqref="E15"/>
    </sheetView>
  </sheetViews>
  <sheetFormatPr defaultRowHeight="14.5" x14ac:dyDescent="0.35"/>
  <cols>
    <col min="1" max="1" width="21.26953125" customWidth="1"/>
    <col min="2" max="3" width="17.90625" hidden="1" customWidth="1"/>
    <col min="4" max="4" width="17.90625" customWidth="1"/>
    <col min="5" max="5" width="17.453125" customWidth="1"/>
    <col min="6" max="6" width="17.90625" bestFit="1" customWidth="1"/>
    <col min="7" max="7" width="9.36328125" customWidth="1"/>
    <col min="8" max="13" width="17.90625" bestFit="1" customWidth="1"/>
  </cols>
  <sheetData>
    <row r="1" spans="1:5" s="36" customFormat="1" x14ac:dyDescent="0.35"/>
    <row r="2" spans="1:5" s="36" customFormat="1" x14ac:dyDescent="0.35"/>
    <row r="3" spans="1:5" s="36" customFormat="1" x14ac:dyDescent="0.35"/>
    <row r="4" spans="1:5" s="36" customFormat="1" x14ac:dyDescent="0.35"/>
    <row r="5" spans="1:5" ht="15" thickBot="1" x14ac:dyDescent="0.4"/>
    <row r="6" spans="1:5" ht="15" thickBot="1" x14ac:dyDescent="0.4">
      <c r="A6" s="51" t="s">
        <v>210</v>
      </c>
      <c r="B6" s="52"/>
      <c r="C6" s="52"/>
      <c r="D6" s="52"/>
      <c r="E6" s="53"/>
    </row>
    <row r="7" spans="1:5" x14ac:dyDescent="0.35">
      <c r="A7" s="20" t="s">
        <v>216</v>
      </c>
      <c r="B7" s="18" t="s">
        <v>204</v>
      </c>
      <c r="C7" s="18" t="s">
        <v>22</v>
      </c>
      <c r="D7" t="s">
        <v>212</v>
      </c>
      <c r="E7" t="s">
        <v>211</v>
      </c>
    </row>
    <row r="8" spans="1:5" x14ac:dyDescent="0.35">
      <c r="A8" t="s">
        <v>209</v>
      </c>
      <c r="B8">
        <v>0</v>
      </c>
      <c r="C8">
        <v>0</v>
      </c>
      <c r="D8" s="19">
        <v>646</v>
      </c>
      <c r="E8" s="21">
        <v>0.81565656565656564</v>
      </c>
    </row>
    <row r="9" spans="1:5" x14ac:dyDescent="0.35">
      <c r="A9" t="s">
        <v>22</v>
      </c>
      <c r="B9">
        <v>0</v>
      </c>
      <c r="C9">
        <v>1</v>
      </c>
      <c r="D9" s="19">
        <v>98</v>
      </c>
      <c r="E9" s="21">
        <v>0.12373737373737374</v>
      </c>
    </row>
    <row r="10" spans="1:5" x14ac:dyDescent="0.35">
      <c r="A10" t="s">
        <v>204</v>
      </c>
      <c r="B10">
        <v>1</v>
      </c>
      <c r="C10">
        <v>0</v>
      </c>
      <c r="D10" s="19">
        <v>48</v>
      </c>
      <c r="E10" s="21">
        <v>6.0606060606060608E-2</v>
      </c>
    </row>
    <row r="11" spans="1:5" x14ac:dyDescent="0.35">
      <c r="A11" t="s">
        <v>233</v>
      </c>
    </row>
    <row r="12" spans="1:5" ht="15" thickBot="1" x14ac:dyDescent="0.4">
      <c r="D12" s="19"/>
      <c r="E12" s="21"/>
    </row>
    <row r="13" spans="1:5" ht="15" thickBot="1" x14ac:dyDescent="0.4">
      <c r="A13" s="51" t="s">
        <v>215</v>
      </c>
      <c r="B13" s="52"/>
      <c r="C13" s="52"/>
      <c r="D13" s="52"/>
      <c r="E13" s="53"/>
    </row>
    <row r="14" spans="1:5" x14ac:dyDescent="0.35">
      <c r="A14" s="20" t="s">
        <v>0</v>
      </c>
      <c r="C14" s="18" t="s">
        <v>0</v>
      </c>
      <c r="D14" t="s">
        <v>212</v>
      </c>
      <c r="E14" t="s">
        <v>211</v>
      </c>
    </row>
    <row r="15" spans="1:5" x14ac:dyDescent="0.35">
      <c r="A15" t="s">
        <v>213</v>
      </c>
      <c r="C15">
        <v>0</v>
      </c>
      <c r="D15" s="19">
        <v>412</v>
      </c>
      <c r="E15" s="21">
        <v>0.52020202020202022</v>
      </c>
    </row>
    <row r="16" spans="1:5" x14ac:dyDescent="0.35">
      <c r="A16" t="s">
        <v>214</v>
      </c>
      <c r="C16">
        <v>1</v>
      </c>
      <c r="D16" s="19">
        <v>380</v>
      </c>
      <c r="E16" s="21">
        <v>0.47979797979797978</v>
      </c>
    </row>
    <row r="17" spans="1:1" x14ac:dyDescent="0.35">
      <c r="A17" t="s">
        <v>233</v>
      </c>
    </row>
  </sheetData>
  <mergeCells count="2">
    <mergeCell ref="A6:E6"/>
    <mergeCell ref="A13:E13"/>
  </mergeCells>
  <pageMargins left="0.7" right="0.7" top="0.75" bottom="0.75" header="0.3" footer="0.3"/>
  <drawing r:id="rId3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G108"/>
  <sheetViews>
    <sheetView showGridLines="0" workbookViewId="0">
      <selection activeCell="O12" sqref="O12"/>
    </sheetView>
  </sheetViews>
  <sheetFormatPr defaultRowHeight="14.5" x14ac:dyDescent="0.35"/>
  <cols>
    <col min="1" max="1" width="17.453125" customWidth="1"/>
    <col min="2" max="2" width="9.26953125" customWidth="1"/>
    <col min="3" max="3" width="4.26953125" customWidth="1"/>
    <col min="4" max="4" width="6.7265625" customWidth="1"/>
    <col min="5" max="5" width="18.90625" customWidth="1"/>
    <col min="6" max="6" width="17.90625" hidden="1" customWidth="1"/>
    <col min="7" max="10" width="10.08984375" customWidth="1"/>
    <col min="11" max="11" width="8.1796875" customWidth="1"/>
    <col min="12" max="12" width="15.26953125" bestFit="1" customWidth="1"/>
    <col min="13" max="13" width="12.7265625" customWidth="1"/>
    <col min="14" max="14" width="14.54296875" bestFit="1" customWidth="1"/>
    <col min="15" max="15" width="16.26953125" bestFit="1" customWidth="1"/>
    <col min="17" max="17" width="17.453125" bestFit="1" customWidth="1"/>
    <col min="18" max="18" width="19.26953125" bestFit="1" customWidth="1"/>
    <col min="19" max="19" width="2.90625" bestFit="1" customWidth="1"/>
    <col min="20" max="20" width="6.90625" bestFit="1" customWidth="1"/>
    <col min="21" max="21" width="2.81640625" bestFit="1" customWidth="1"/>
    <col min="22" max="22" width="3.90625" bestFit="1" customWidth="1"/>
    <col min="23" max="23" width="6" bestFit="1" customWidth="1"/>
    <col min="24" max="24" width="2.90625" bestFit="1" customWidth="1"/>
    <col min="25" max="25" width="3.54296875" customWidth="1"/>
    <col min="26" max="26" width="4.453125" bestFit="1" customWidth="1"/>
    <col min="27" max="27" width="3.26953125" customWidth="1"/>
    <col min="28" max="28" width="9.6328125" bestFit="1" customWidth="1"/>
    <col min="29" max="29" width="3.6328125" customWidth="1"/>
    <col min="30" max="30" width="9.7265625" bestFit="1" customWidth="1"/>
    <col min="31" max="31" width="4.6328125" customWidth="1"/>
    <col min="32" max="32" width="4.1796875" customWidth="1"/>
    <col min="33" max="33" width="6.7265625" customWidth="1"/>
  </cols>
  <sheetData>
    <row r="1" spans="1:33" s="36" customFormat="1" x14ac:dyDescent="0.35"/>
    <row r="2" spans="1:33" s="36" customFormat="1" x14ac:dyDescent="0.35"/>
    <row r="3" spans="1:33" s="36" customFormat="1" x14ac:dyDescent="0.35"/>
    <row r="4" spans="1:33" s="36" customFormat="1" x14ac:dyDescent="0.35"/>
    <row r="5" spans="1:33" ht="15" thickBot="1" x14ac:dyDescent="0.4"/>
    <row r="6" spans="1:33" ht="15" thickBot="1" x14ac:dyDescent="0.4">
      <c r="A6" s="54" t="s">
        <v>217</v>
      </c>
      <c r="B6" s="55"/>
      <c r="C6" s="55"/>
      <c r="D6" s="55"/>
      <c r="G6" s="51" t="s">
        <v>223</v>
      </c>
      <c r="H6" s="52"/>
      <c r="I6" s="52"/>
      <c r="J6" s="53"/>
      <c r="L6" s="51" t="s">
        <v>224</v>
      </c>
      <c r="M6" s="52"/>
      <c r="N6" s="52"/>
      <c r="O6" s="53"/>
      <c r="Q6" s="51" t="s">
        <v>234</v>
      </c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3"/>
    </row>
    <row r="7" spans="1:33" s="17" customFormat="1" x14ac:dyDescent="0.35">
      <c r="A7" s="22" t="s">
        <v>201</v>
      </c>
      <c r="B7" s="22" t="s">
        <v>218</v>
      </c>
      <c r="C7" s="22" t="s">
        <v>219</v>
      </c>
      <c r="D7" s="22" t="s">
        <v>233</v>
      </c>
      <c r="F7" s="22" t="s">
        <v>201</v>
      </c>
      <c r="G7" s="22" t="s">
        <v>222</v>
      </c>
      <c r="H7" s="22" t="s">
        <v>220</v>
      </c>
      <c r="I7" s="22" t="s">
        <v>221</v>
      </c>
      <c r="J7" s="22" t="s">
        <v>233</v>
      </c>
      <c r="L7" s="22" t="s">
        <v>225</v>
      </c>
      <c r="M7" s="22" t="s">
        <v>226</v>
      </c>
      <c r="N7" s="22" t="s">
        <v>227</v>
      </c>
      <c r="O7" s="22" t="s">
        <v>228</v>
      </c>
      <c r="Q7" s="22" t="s">
        <v>201</v>
      </c>
      <c r="R7" s="22" t="str">
        <f>R10</f>
        <v>BE</v>
      </c>
      <c r="S7" s="22" t="str">
        <f t="shared" ref="S7:AF7" si="0">S10</f>
        <v>CE</v>
      </c>
      <c r="T7" s="22" t="str">
        <f t="shared" si="0"/>
        <v>CHEME</v>
      </c>
      <c r="U7" s="22" t="str">
        <f t="shared" si="0"/>
        <v>CS</v>
      </c>
      <c r="V7" s="22" t="str">
        <f t="shared" si="0"/>
        <v>ECE</v>
      </c>
      <c r="W7" s="22" t="str">
        <f t="shared" si="0"/>
        <v>EnvirE</v>
      </c>
      <c r="X7" s="22" t="str">
        <f t="shared" si="0"/>
        <v>EP</v>
      </c>
      <c r="Y7" s="22" t="str">
        <f t="shared" si="0"/>
        <v>ME</v>
      </c>
      <c r="Z7" s="22" t="str">
        <f t="shared" si="0"/>
        <v>MSE</v>
      </c>
      <c r="AA7" s="22" t="str">
        <f t="shared" si="0"/>
        <v>OR</v>
      </c>
      <c r="AB7" s="22" t="str">
        <f t="shared" si="0"/>
        <v>Pre-health</v>
      </c>
      <c r="AC7" s="22" t="str">
        <f t="shared" si="0"/>
        <v>SES</v>
      </c>
      <c r="AD7" s="22" t="str">
        <f t="shared" si="0"/>
        <v>Undecided</v>
      </c>
      <c r="AE7" s="22" t="str">
        <f t="shared" si="0"/>
        <v>BME</v>
      </c>
      <c r="AF7" s="22" t="str">
        <f t="shared" si="0"/>
        <v>ISST</v>
      </c>
      <c r="AG7" s="22" t="s">
        <v>233</v>
      </c>
    </row>
    <row r="8" spans="1:33" hidden="1" x14ac:dyDescent="0.35">
      <c r="F8" s="18" t="s">
        <v>212</v>
      </c>
      <c r="G8" s="18" t="s">
        <v>204</v>
      </c>
      <c r="H8" s="18" t="s">
        <v>22</v>
      </c>
    </row>
    <row r="9" spans="1:33" hidden="1" x14ac:dyDescent="0.35">
      <c r="A9" s="18" t="s">
        <v>211</v>
      </c>
      <c r="B9" s="18" t="s">
        <v>0</v>
      </c>
      <c r="G9">
        <v>0</v>
      </c>
      <c r="H9">
        <v>0</v>
      </c>
      <c r="I9">
        <v>1</v>
      </c>
      <c r="Q9" s="18" t="s">
        <v>211</v>
      </c>
      <c r="R9" s="18" t="s">
        <v>202</v>
      </c>
    </row>
    <row r="10" spans="1:33" hidden="1" x14ac:dyDescent="0.35">
      <c r="A10" s="18" t="s">
        <v>201</v>
      </c>
      <c r="B10">
        <v>0</v>
      </c>
      <c r="C10">
        <v>1</v>
      </c>
      <c r="F10" s="18" t="s">
        <v>201</v>
      </c>
      <c r="G10">
        <v>0</v>
      </c>
      <c r="H10">
        <v>1</v>
      </c>
      <c r="I10">
        <v>0</v>
      </c>
      <c r="Q10" s="18" t="s">
        <v>201</v>
      </c>
      <c r="R10" t="s">
        <v>10</v>
      </c>
      <c r="S10" t="s">
        <v>12</v>
      </c>
      <c r="T10" t="s">
        <v>8</v>
      </c>
      <c r="U10" t="s">
        <v>5</v>
      </c>
      <c r="V10" t="s">
        <v>7</v>
      </c>
      <c r="W10" t="s">
        <v>9</v>
      </c>
      <c r="X10" t="s">
        <v>2</v>
      </c>
      <c r="Y10" t="s">
        <v>3</v>
      </c>
      <c r="Z10" t="s">
        <v>4</v>
      </c>
      <c r="AA10" t="s">
        <v>11</v>
      </c>
      <c r="AB10" t="s">
        <v>14</v>
      </c>
      <c r="AC10" t="s">
        <v>15</v>
      </c>
      <c r="AD10" t="s">
        <v>13</v>
      </c>
      <c r="AE10" t="s">
        <v>119</v>
      </c>
      <c r="AF10" t="s">
        <v>6</v>
      </c>
    </row>
    <row r="11" spans="1:33" x14ac:dyDescent="0.35">
      <c r="A11" t="s">
        <v>136</v>
      </c>
      <c r="B11" s="21">
        <v>0.47619047619047616</v>
      </c>
      <c r="C11" s="21">
        <v>0.52380952380952384</v>
      </c>
      <c r="E11" s="21"/>
      <c r="F11" t="s">
        <v>136</v>
      </c>
      <c r="G11" s="19">
        <v>17</v>
      </c>
      <c r="H11" s="19">
        <v>2</v>
      </c>
      <c r="I11" s="19">
        <v>2</v>
      </c>
      <c r="K11" s="19"/>
      <c r="L11" t="str">
        <f>IFERROR(INDEX($R$10:$AG$10,0,MATCH(N11,R11:AG11,0)),"")</f>
        <v>CS</v>
      </c>
      <c r="M11">
        <f>IF(SUM(R11:AG11)=0,"",SUM(R11:AG11))</f>
        <v>21</v>
      </c>
      <c r="N11">
        <f>IF(MAX(R11:AG11)=0,"",MAX(R11:AG11))</f>
        <v>21</v>
      </c>
      <c r="O11">
        <f>IF(COUNT(R11:AG11)=0,"",COUNT(R11:AG11))</f>
        <v>1</v>
      </c>
      <c r="Q11" t="s">
        <v>136</v>
      </c>
      <c r="R11" s="19"/>
      <c r="S11" s="19"/>
      <c r="T11" s="19"/>
      <c r="U11" s="19">
        <v>21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</row>
    <row r="12" spans="1:33" x14ac:dyDescent="0.35">
      <c r="A12" t="s">
        <v>141</v>
      </c>
      <c r="B12" s="21">
        <v>0.42857142857142855</v>
      </c>
      <c r="C12" s="21">
        <v>0.5714285714285714</v>
      </c>
      <c r="E12" s="21"/>
      <c r="F12" t="s">
        <v>141</v>
      </c>
      <c r="G12" s="19">
        <v>10</v>
      </c>
      <c r="H12" s="19">
        <v>2</v>
      </c>
      <c r="I12" s="19">
        <v>2</v>
      </c>
      <c r="K12" s="19"/>
      <c r="L12" t="str">
        <f t="shared" ref="L12:L75" si="1">IFERROR(INDEX($R$10:$AG$10,0,MATCH(N12,R12:AG12,0)),"")</f>
        <v>EnvirE</v>
      </c>
      <c r="M12">
        <f t="shared" ref="M12:M75" si="2">IF(SUM(R12:AG12)=0,"",SUM(R12:AG12))</f>
        <v>14</v>
      </c>
      <c r="N12">
        <f t="shared" ref="N12:N75" si="3">IF(MAX(R12:AG12)=0,"",MAX(R12:AG12))</f>
        <v>8</v>
      </c>
      <c r="O12">
        <f t="shared" ref="O12:O75" si="4">IF(COUNT(R12:AG12)=0,"",COUNT(R12:AG12))</f>
        <v>2</v>
      </c>
      <c r="Q12" t="s">
        <v>141</v>
      </c>
      <c r="R12" s="19"/>
      <c r="S12" s="19">
        <v>6</v>
      </c>
      <c r="T12" s="19"/>
      <c r="U12" s="19"/>
      <c r="V12" s="19"/>
      <c r="W12" s="19">
        <v>8</v>
      </c>
      <c r="X12" s="19"/>
      <c r="Y12" s="19"/>
      <c r="Z12" s="19"/>
      <c r="AA12" s="19"/>
      <c r="AB12" s="19"/>
      <c r="AC12" s="19"/>
      <c r="AD12" s="19"/>
      <c r="AE12" s="19"/>
      <c r="AF12" s="19"/>
    </row>
    <row r="13" spans="1:33" x14ac:dyDescent="0.35">
      <c r="A13" t="s">
        <v>143</v>
      </c>
      <c r="B13" s="21">
        <v>0.5</v>
      </c>
      <c r="C13" s="21">
        <v>0.5</v>
      </c>
      <c r="E13" s="21"/>
      <c r="F13" t="s">
        <v>143</v>
      </c>
      <c r="G13" s="19">
        <v>10</v>
      </c>
      <c r="H13" s="19">
        <v>4</v>
      </c>
      <c r="I13" s="19"/>
      <c r="K13" s="19"/>
      <c r="L13" t="str">
        <f t="shared" si="1"/>
        <v>CE</v>
      </c>
      <c r="M13">
        <f t="shared" si="2"/>
        <v>14</v>
      </c>
      <c r="N13">
        <f t="shared" si="3"/>
        <v>12</v>
      </c>
      <c r="O13">
        <f t="shared" si="4"/>
        <v>2</v>
      </c>
      <c r="Q13" t="s">
        <v>143</v>
      </c>
      <c r="R13" s="19"/>
      <c r="S13" s="19">
        <v>12</v>
      </c>
      <c r="T13" s="19"/>
      <c r="U13" s="19"/>
      <c r="V13" s="19"/>
      <c r="W13" s="19">
        <v>2</v>
      </c>
      <c r="X13" s="19"/>
      <c r="Y13" s="19"/>
      <c r="Z13" s="19"/>
      <c r="AA13" s="19"/>
      <c r="AB13" s="19"/>
      <c r="AC13" s="19"/>
      <c r="AD13" s="19"/>
      <c r="AE13" s="19"/>
      <c r="AF13" s="19"/>
    </row>
    <row r="14" spans="1:33" x14ac:dyDescent="0.35">
      <c r="A14" t="s">
        <v>147</v>
      </c>
      <c r="B14" s="21">
        <v>0.61904761904761907</v>
      </c>
      <c r="C14" s="21">
        <v>0.38095238095238093</v>
      </c>
      <c r="E14" s="21"/>
      <c r="F14" t="s">
        <v>147</v>
      </c>
      <c r="G14" s="19">
        <v>17</v>
      </c>
      <c r="H14" s="19">
        <v>2</v>
      </c>
      <c r="I14" s="19">
        <v>2</v>
      </c>
      <c r="K14" s="19"/>
      <c r="L14" t="str">
        <f t="shared" si="1"/>
        <v>CS</v>
      </c>
      <c r="M14">
        <f t="shared" si="2"/>
        <v>21</v>
      </c>
      <c r="N14">
        <f t="shared" si="3"/>
        <v>21</v>
      </c>
      <c r="O14">
        <f t="shared" si="4"/>
        <v>1</v>
      </c>
      <c r="Q14" t="s">
        <v>147</v>
      </c>
      <c r="R14" s="19"/>
      <c r="S14" s="19"/>
      <c r="T14" s="19"/>
      <c r="U14" s="19">
        <v>21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1:33" x14ac:dyDescent="0.35">
      <c r="A15" t="s">
        <v>139</v>
      </c>
      <c r="B15" s="21">
        <v>0.35</v>
      </c>
      <c r="C15" s="21">
        <v>0.65</v>
      </c>
      <c r="E15" s="21"/>
      <c r="F15" t="s">
        <v>139</v>
      </c>
      <c r="G15" s="19">
        <v>15</v>
      </c>
      <c r="H15" s="19">
        <v>2</v>
      </c>
      <c r="I15" s="19">
        <v>3</v>
      </c>
      <c r="K15" s="19"/>
      <c r="L15" t="str">
        <f t="shared" si="1"/>
        <v>BME</v>
      </c>
      <c r="M15">
        <f t="shared" si="2"/>
        <v>20</v>
      </c>
      <c r="N15">
        <f t="shared" si="3"/>
        <v>18</v>
      </c>
      <c r="O15">
        <f t="shared" si="4"/>
        <v>2</v>
      </c>
      <c r="Q15" t="s">
        <v>139</v>
      </c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>
        <v>2</v>
      </c>
      <c r="AE15" s="19">
        <v>18</v>
      </c>
      <c r="AF15" s="19"/>
    </row>
    <row r="16" spans="1:33" x14ac:dyDescent="0.35">
      <c r="A16" t="s">
        <v>161</v>
      </c>
      <c r="B16" s="21">
        <v>0.38095238095238093</v>
      </c>
      <c r="C16" s="21">
        <v>0.61904761904761907</v>
      </c>
      <c r="E16" s="21"/>
      <c r="F16" t="s">
        <v>161</v>
      </c>
      <c r="G16" s="19">
        <v>19</v>
      </c>
      <c r="H16" s="19">
        <v>2</v>
      </c>
      <c r="I16" s="19"/>
      <c r="K16" s="19"/>
      <c r="L16" t="str">
        <f t="shared" si="1"/>
        <v>CS</v>
      </c>
      <c r="M16">
        <f t="shared" si="2"/>
        <v>21</v>
      </c>
      <c r="N16">
        <f t="shared" si="3"/>
        <v>21</v>
      </c>
      <c r="O16">
        <f t="shared" si="4"/>
        <v>1</v>
      </c>
      <c r="Q16" t="s">
        <v>161</v>
      </c>
      <c r="R16" s="19"/>
      <c r="S16" s="19"/>
      <c r="T16" s="19"/>
      <c r="U16" s="19">
        <v>21</v>
      </c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1:32" x14ac:dyDescent="0.35">
      <c r="A17" t="s">
        <v>164</v>
      </c>
      <c r="B17" s="21">
        <v>0.35714285714285715</v>
      </c>
      <c r="C17" s="21">
        <v>0.6428571428571429</v>
      </c>
      <c r="E17" s="21"/>
      <c r="F17" t="s">
        <v>164</v>
      </c>
      <c r="G17" s="19">
        <v>14</v>
      </c>
      <c r="H17" s="19"/>
      <c r="I17" s="19"/>
      <c r="K17" s="19"/>
      <c r="L17" t="str">
        <f t="shared" si="1"/>
        <v>EnvirE</v>
      </c>
      <c r="M17">
        <f t="shared" si="2"/>
        <v>14</v>
      </c>
      <c r="N17">
        <f t="shared" si="3"/>
        <v>13</v>
      </c>
      <c r="O17">
        <f t="shared" si="4"/>
        <v>2</v>
      </c>
      <c r="Q17" t="s">
        <v>164</v>
      </c>
      <c r="R17" s="19"/>
      <c r="S17" s="19"/>
      <c r="T17" s="19"/>
      <c r="U17" s="19"/>
      <c r="V17" s="19"/>
      <c r="W17" s="19">
        <v>13</v>
      </c>
      <c r="X17" s="19"/>
      <c r="Y17" s="19"/>
      <c r="Z17" s="19"/>
      <c r="AA17" s="19"/>
      <c r="AB17" s="19"/>
      <c r="AC17" s="19">
        <v>1</v>
      </c>
      <c r="AD17" s="19"/>
      <c r="AE17" s="19"/>
      <c r="AF17" s="19"/>
    </row>
    <row r="18" spans="1:32" x14ac:dyDescent="0.35">
      <c r="A18" t="s">
        <v>166</v>
      </c>
      <c r="B18" s="21">
        <v>0.7</v>
      </c>
      <c r="C18" s="21">
        <v>0.3</v>
      </c>
      <c r="E18" s="21"/>
      <c r="F18" t="s">
        <v>166</v>
      </c>
      <c r="G18" s="19">
        <v>14</v>
      </c>
      <c r="H18" s="19">
        <v>6</v>
      </c>
      <c r="I18" s="19"/>
      <c r="K18" s="19"/>
      <c r="L18" t="str">
        <f t="shared" si="1"/>
        <v>ECE</v>
      </c>
      <c r="M18">
        <f t="shared" si="2"/>
        <v>20</v>
      </c>
      <c r="N18">
        <f t="shared" si="3"/>
        <v>20</v>
      </c>
      <c r="O18">
        <f t="shared" si="4"/>
        <v>1</v>
      </c>
      <c r="Q18" t="s">
        <v>166</v>
      </c>
      <c r="R18" s="19"/>
      <c r="S18" s="19"/>
      <c r="T18" s="19"/>
      <c r="U18" s="19"/>
      <c r="V18" s="19">
        <v>20</v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</row>
    <row r="19" spans="1:32" x14ac:dyDescent="0.35">
      <c r="A19" t="s">
        <v>179</v>
      </c>
      <c r="B19" s="21">
        <v>0.6428571428571429</v>
      </c>
      <c r="C19" s="21">
        <v>0.35714285714285715</v>
      </c>
      <c r="E19" s="21"/>
      <c r="F19" t="s">
        <v>179</v>
      </c>
      <c r="G19" s="19">
        <v>12</v>
      </c>
      <c r="H19" s="19">
        <v>2</v>
      </c>
      <c r="I19" s="19"/>
      <c r="K19" s="19"/>
      <c r="L19" t="str">
        <f t="shared" si="1"/>
        <v>CHEME</v>
      </c>
      <c r="M19">
        <f t="shared" si="2"/>
        <v>14</v>
      </c>
      <c r="N19">
        <f t="shared" si="3"/>
        <v>11</v>
      </c>
      <c r="O19">
        <f t="shared" si="4"/>
        <v>3</v>
      </c>
      <c r="Q19" t="s">
        <v>179</v>
      </c>
      <c r="R19" s="19"/>
      <c r="S19" s="19"/>
      <c r="T19" s="19">
        <v>11</v>
      </c>
      <c r="U19" s="19"/>
      <c r="V19" s="19"/>
      <c r="W19" s="19"/>
      <c r="X19" s="19"/>
      <c r="Y19" s="19">
        <v>2</v>
      </c>
      <c r="Z19" s="19">
        <v>1</v>
      </c>
      <c r="AA19" s="19"/>
      <c r="AB19" s="19"/>
      <c r="AC19" s="19"/>
      <c r="AD19" s="19"/>
      <c r="AE19" s="19"/>
      <c r="AF19" s="19"/>
    </row>
    <row r="20" spans="1:32" x14ac:dyDescent="0.35">
      <c r="A20" t="s">
        <v>187</v>
      </c>
      <c r="B20" s="21">
        <v>0.35714285714285715</v>
      </c>
      <c r="C20" s="21">
        <v>0.6428571428571429</v>
      </c>
      <c r="E20" s="21"/>
      <c r="F20" t="s">
        <v>187</v>
      </c>
      <c r="G20" s="19">
        <v>11</v>
      </c>
      <c r="H20" s="19">
        <v>3</v>
      </c>
      <c r="I20" s="19"/>
      <c r="K20" s="19"/>
      <c r="L20" t="str">
        <f t="shared" si="1"/>
        <v>ECE</v>
      </c>
      <c r="M20">
        <f t="shared" si="2"/>
        <v>14</v>
      </c>
      <c r="N20">
        <f t="shared" si="3"/>
        <v>11</v>
      </c>
      <c r="O20">
        <f t="shared" si="4"/>
        <v>3</v>
      </c>
      <c r="Q20" t="s">
        <v>187</v>
      </c>
      <c r="R20" s="19">
        <v>1</v>
      </c>
      <c r="S20" s="19"/>
      <c r="T20" s="19"/>
      <c r="U20" s="19"/>
      <c r="V20" s="19">
        <v>11</v>
      </c>
      <c r="W20" s="19"/>
      <c r="X20" s="19"/>
      <c r="Y20" s="19"/>
      <c r="Z20" s="19"/>
      <c r="AA20" s="19"/>
      <c r="AB20" s="19"/>
      <c r="AC20" s="19"/>
      <c r="AD20" s="19"/>
      <c r="AE20" s="19">
        <v>2</v>
      </c>
      <c r="AF20" s="19"/>
    </row>
    <row r="21" spans="1:32" x14ac:dyDescent="0.35">
      <c r="A21" t="s">
        <v>122</v>
      </c>
      <c r="B21" s="21">
        <v>0.66666666666666663</v>
      </c>
      <c r="C21" s="21">
        <v>0.33333333333333331</v>
      </c>
      <c r="E21" s="21"/>
      <c r="F21" t="s">
        <v>122</v>
      </c>
      <c r="G21" s="19">
        <v>12</v>
      </c>
      <c r="H21" s="19">
        <v>4</v>
      </c>
      <c r="I21" s="19">
        <v>5</v>
      </c>
      <c r="K21" s="19"/>
      <c r="L21" t="str">
        <f t="shared" si="1"/>
        <v>ECE</v>
      </c>
      <c r="M21">
        <f t="shared" si="2"/>
        <v>21</v>
      </c>
      <c r="N21">
        <f t="shared" si="3"/>
        <v>19</v>
      </c>
      <c r="O21">
        <f t="shared" si="4"/>
        <v>2</v>
      </c>
      <c r="Q21" t="s">
        <v>122</v>
      </c>
      <c r="R21" s="19"/>
      <c r="S21" s="19"/>
      <c r="T21" s="19"/>
      <c r="U21" s="19"/>
      <c r="V21" s="19">
        <v>19</v>
      </c>
      <c r="W21" s="19"/>
      <c r="X21" s="19">
        <v>2</v>
      </c>
      <c r="Y21" s="19"/>
      <c r="Z21" s="19"/>
      <c r="AA21" s="19"/>
      <c r="AB21" s="19"/>
      <c r="AC21" s="19"/>
      <c r="AD21" s="19"/>
      <c r="AE21" s="19"/>
      <c r="AF21" s="19"/>
    </row>
    <row r="22" spans="1:32" x14ac:dyDescent="0.35">
      <c r="A22" t="s">
        <v>123</v>
      </c>
      <c r="B22" s="21">
        <v>0.7</v>
      </c>
      <c r="C22" s="21">
        <v>0.3</v>
      </c>
      <c r="E22" s="21"/>
      <c r="F22" t="s">
        <v>123</v>
      </c>
      <c r="G22" s="19">
        <v>16</v>
      </c>
      <c r="H22" s="19">
        <v>4</v>
      </c>
      <c r="I22" s="19"/>
      <c r="K22" s="19"/>
      <c r="L22" t="str">
        <f t="shared" si="1"/>
        <v>ME</v>
      </c>
      <c r="M22">
        <f t="shared" si="2"/>
        <v>20</v>
      </c>
      <c r="N22">
        <f t="shared" si="3"/>
        <v>20</v>
      </c>
      <c r="O22">
        <f t="shared" si="4"/>
        <v>1</v>
      </c>
      <c r="Q22" t="s">
        <v>123</v>
      </c>
      <c r="R22" s="19"/>
      <c r="S22" s="19"/>
      <c r="T22" s="19"/>
      <c r="U22" s="19"/>
      <c r="V22" s="19"/>
      <c r="W22" s="19"/>
      <c r="X22" s="19"/>
      <c r="Y22" s="19">
        <v>20</v>
      </c>
      <c r="Z22" s="19"/>
      <c r="AA22" s="19"/>
      <c r="AB22" s="19"/>
      <c r="AC22" s="19"/>
      <c r="AD22" s="19"/>
      <c r="AE22" s="19"/>
      <c r="AF22" s="19"/>
    </row>
    <row r="23" spans="1:32" x14ac:dyDescent="0.35">
      <c r="A23" t="s">
        <v>125</v>
      </c>
      <c r="B23" s="21">
        <v>0.61904761904761907</v>
      </c>
      <c r="C23" s="21">
        <v>0.38095238095238093</v>
      </c>
      <c r="E23" s="21"/>
      <c r="F23" t="s">
        <v>125</v>
      </c>
      <c r="G23" s="19">
        <v>19</v>
      </c>
      <c r="H23" s="19">
        <v>2</v>
      </c>
      <c r="I23" s="19"/>
      <c r="K23" s="19"/>
      <c r="L23" t="str">
        <f t="shared" si="1"/>
        <v>ECE</v>
      </c>
      <c r="M23">
        <f t="shared" si="2"/>
        <v>21</v>
      </c>
      <c r="N23">
        <f t="shared" si="3"/>
        <v>21</v>
      </c>
      <c r="O23">
        <f t="shared" si="4"/>
        <v>1</v>
      </c>
      <c r="Q23" t="s">
        <v>125</v>
      </c>
      <c r="R23" s="19"/>
      <c r="S23" s="19"/>
      <c r="T23" s="19"/>
      <c r="U23" s="19"/>
      <c r="V23" s="19">
        <v>21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</row>
    <row r="24" spans="1:32" x14ac:dyDescent="0.35">
      <c r="A24" t="s">
        <v>126</v>
      </c>
      <c r="B24" s="21">
        <v>0.61904761904761907</v>
      </c>
      <c r="C24" s="21">
        <v>0.38095238095238093</v>
      </c>
      <c r="E24" s="21"/>
      <c r="F24" t="s">
        <v>126</v>
      </c>
      <c r="G24" s="19">
        <v>19</v>
      </c>
      <c r="H24" s="19"/>
      <c r="I24" s="19">
        <v>2</v>
      </c>
      <c r="K24" s="19"/>
      <c r="L24" t="str">
        <f t="shared" si="1"/>
        <v>CS</v>
      </c>
      <c r="M24">
        <f t="shared" si="2"/>
        <v>21</v>
      </c>
      <c r="N24">
        <f t="shared" si="3"/>
        <v>21</v>
      </c>
      <c r="O24">
        <f t="shared" si="4"/>
        <v>1</v>
      </c>
      <c r="Q24" t="s">
        <v>126</v>
      </c>
      <c r="R24" s="19"/>
      <c r="S24" s="19"/>
      <c r="T24" s="19"/>
      <c r="U24" s="19">
        <v>21</v>
      </c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</row>
    <row r="25" spans="1:32" x14ac:dyDescent="0.35">
      <c r="A25" t="s">
        <v>128</v>
      </c>
      <c r="B25" s="21">
        <v>0.42857142857142855</v>
      </c>
      <c r="C25" s="21">
        <v>0.5714285714285714</v>
      </c>
      <c r="E25" s="21"/>
      <c r="F25" t="s">
        <v>128</v>
      </c>
      <c r="G25" s="19">
        <v>10</v>
      </c>
      <c r="H25" s="19">
        <v>2</v>
      </c>
      <c r="I25" s="19">
        <v>2</v>
      </c>
      <c r="K25" s="19"/>
      <c r="L25" t="str">
        <f t="shared" si="1"/>
        <v>BME</v>
      </c>
      <c r="M25">
        <f t="shared" si="2"/>
        <v>14</v>
      </c>
      <c r="N25">
        <f t="shared" si="3"/>
        <v>7</v>
      </c>
      <c r="O25">
        <f t="shared" si="4"/>
        <v>3</v>
      </c>
      <c r="Q25" t="s">
        <v>128</v>
      </c>
      <c r="R25" s="19"/>
      <c r="S25" s="19"/>
      <c r="T25" s="19">
        <v>6</v>
      </c>
      <c r="U25" s="19"/>
      <c r="V25" s="19"/>
      <c r="W25" s="19"/>
      <c r="X25" s="19"/>
      <c r="Y25" s="19">
        <v>1</v>
      </c>
      <c r="Z25" s="19"/>
      <c r="AA25" s="19"/>
      <c r="AB25" s="19"/>
      <c r="AC25" s="19"/>
      <c r="AD25" s="19"/>
      <c r="AE25" s="19">
        <v>7</v>
      </c>
      <c r="AF25" s="19"/>
    </row>
    <row r="26" spans="1:32" x14ac:dyDescent="0.35">
      <c r="A26" t="s">
        <v>129</v>
      </c>
      <c r="B26" s="21">
        <v>0.36842105263157893</v>
      </c>
      <c r="C26" s="21">
        <v>0.63157894736842102</v>
      </c>
      <c r="E26" s="21"/>
      <c r="F26" t="s">
        <v>129</v>
      </c>
      <c r="G26" s="19">
        <v>15</v>
      </c>
      <c r="H26" s="19">
        <v>2</v>
      </c>
      <c r="I26" s="19">
        <v>2</v>
      </c>
      <c r="K26" s="19"/>
      <c r="L26" t="str">
        <f t="shared" si="1"/>
        <v>BME</v>
      </c>
      <c r="M26">
        <f t="shared" si="2"/>
        <v>19</v>
      </c>
      <c r="N26">
        <f t="shared" si="3"/>
        <v>15</v>
      </c>
      <c r="O26">
        <f t="shared" si="4"/>
        <v>2</v>
      </c>
      <c r="Q26" t="s">
        <v>129</v>
      </c>
      <c r="R26" s="19"/>
      <c r="S26" s="19"/>
      <c r="T26" s="19"/>
      <c r="U26" s="19"/>
      <c r="V26" s="19"/>
      <c r="W26" s="19"/>
      <c r="X26" s="19">
        <v>4</v>
      </c>
      <c r="Y26" s="19"/>
      <c r="Z26" s="19"/>
      <c r="AA26" s="19"/>
      <c r="AB26" s="19"/>
      <c r="AC26" s="19"/>
      <c r="AD26" s="19"/>
      <c r="AE26" s="19">
        <v>15</v>
      </c>
      <c r="AF26" s="19"/>
    </row>
    <row r="27" spans="1:32" x14ac:dyDescent="0.35">
      <c r="A27" t="s">
        <v>132</v>
      </c>
      <c r="B27" s="21">
        <v>0.5</v>
      </c>
      <c r="C27" s="21">
        <v>0.5</v>
      </c>
      <c r="E27" s="21"/>
      <c r="F27" t="s">
        <v>132</v>
      </c>
      <c r="G27" s="19">
        <v>10</v>
      </c>
      <c r="H27" s="19">
        <v>2</v>
      </c>
      <c r="I27" s="19">
        <v>2</v>
      </c>
      <c r="K27" s="19"/>
      <c r="L27" t="str">
        <f t="shared" si="1"/>
        <v>ME</v>
      </c>
      <c r="M27">
        <f t="shared" si="2"/>
        <v>14</v>
      </c>
      <c r="N27">
        <f t="shared" si="3"/>
        <v>8</v>
      </c>
      <c r="O27">
        <f t="shared" si="4"/>
        <v>3</v>
      </c>
      <c r="Q27" t="s">
        <v>132</v>
      </c>
      <c r="R27" s="19">
        <v>2</v>
      </c>
      <c r="S27" s="19"/>
      <c r="T27" s="19"/>
      <c r="U27" s="19"/>
      <c r="V27" s="19"/>
      <c r="W27" s="19"/>
      <c r="X27" s="19"/>
      <c r="Y27" s="19">
        <v>8</v>
      </c>
      <c r="Z27" s="19"/>
      <c r="AA27" s="19"/>
      <c r="AB27" s="19"/>
      <c r="AC27" s="19"/>
      <c r="AD27" s="19"/>
      <c r="AE27" s="19">
        <v>4</v>
      </c>
      <c r="AF27" s="19"/>
    </row>
    <row r="28" spans="1:32" x14ac:dyDescent="0.35">
      <c r="A28" t="s">
        <v>134</v>
      </c>
      <c r="B28" s="21">
        <v>0.42857142857142855</v>
      </c>
      <c r="C28" s="21">
        <v>0.5714285714285714</v>
      </c>
      <c r="E28" s="21"/>
      <c r="F28" t="s">
        <v>134</v>
      </c>
      <c r="G28" s="19">
        <v>10</v>
      </c>
      <c r="H28" s="19">
        <v>2</v>
      </c>
      <c r="I28" s="19">
        <v>2</v>
      </c>
      <c r="K28" s="19"/>
      <c r="L28" t="str">
        <f t="shared" si="1"/>
        <v>Pre-health</v>
      </c>
      <c r="M28">
        <f t="shared" si="2"/>
        <v>14</v>
      </c>
      <c r="N28">
        <f t="shared" si="3"/>
        <v>9</v>
      </c>
      <c r="O28">
        <f t="shared" si="4"/>
        <v>3</v>
      </c>
      <c r="Q28" t="s">
        <v>134</v>
      </c>
      <c r="R28" s="19"/>
      <c r="S28" s="19"/>
      <c r="T28" s="19">
        <v>4</v>
      </c>
      <c r="U28" s="19"/>
      <c r="V28" s="19"/>
      <c r="W28" s="19"/>
      <c r="X28" s="19"/>
      <c r="Y28" s="19"/>
      <c r="Z28" s="19"/>
      <c r="AA28" s="19"/>
      <c r="AB28" s="19">
        <v>9</v>
      </c>
      <c r="AC28" s="19"/>
      <c r="AD28" s="19"/>
      <c r="AE28" s="19">
        <v>1</v>
      </c>
      <c r="AF28" s="19"/>
    </row>
    <row r="29" spans="1:32" x14ac:dyDescent="0.35">
      <c r="A29" t="s">
        <v>138</v>
      </c>
      <c r="B29" s="21">
        <v>0.33333333333333331</v>
      </c>
      <c r="C29" s="21">
        <v>0.66666666666666663</v>
      </c>
      <c r="E29" s="21"/>
      <c r="F29" t="s">
        <v>138</v>
      </c>
      <c r="G29" s="19">
        <v>12</v>
      </c>
      <c r="H29" s="19">
        <v>3</v>
      </c>
      <c r="I29" s="19"/>
      <c r="K29" s="19"/>
      <c r="L29" t="str">
        <f t="shared" si="1"/>
        <v>BME</v>
      </c>
      <c r="M29">
        <f t="shared" si="2"/>
        <v>15</v>
      </c>
      <c r="N29">
        <f t="shared" si="3"/>
        <v>12</v>
      </c>
      <c r="O29">
        <f t="shared" si="4"/>
        <v>2</v>
      </c>
      <c r="Q29" t="s">
        <v>138</v>
      </c>
      <c r="R29" s="19">
        <v>3</v>
      </c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>
        <v>12</v>
      </c>
      <c r="AF29" s="19"/>
    </row>
    <row r="30" spans="1:32" x14ac:dyDescent="0.35">
      <c r="A30" t="s">
        <v>144</v>
      </c>
      <c r="B30" s="21">
        <v>0.3</v>
      </c>
      <c r="C30" s="21">
        <v>0.7</v>
      </c>
      <c r="E30" s="21"/>
      <c r="F30" t="s">
        <v>144</v>
      </c>
      <c r="G30" s="19">
        <v>15</v>
      </c>
      <c r="H30" s="19">
        <v>5</v>
      </c>
      <c r="I30" s="19"/>
      <c r="K30" s="19"/>
      <c r="L30" t="str">
        <f t="shared" si="1"/>
        <v>BME</v>
      </c>
      <c r="M30">
        <f t="shared" si="2"/>
        <v>20</v>
      </c>
      <c r="N30">
        <f t="shared" si="3"/>
        <v>20</v>
      </c>
      <c r="O30">
        <f t="shared" si="4"/>
        <v>1</v>
      </c>
      <c r="Q30" t="s">
        <v>144</v>
      </c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>
        <v>20</v>
      </c>
      <c r="AF30" s="19"/>
    </row>
    <row r="31" spans="1:32" x14ac:dyDescent="0.35">
      <c r="A31" t="s">
        <v>145</v>
      </c>
      <c r="B31" s="21">
        <v>0.6875</v>
      </c>
      <c r="C31" s="21">
        <v>0.3125</v>
      </c>
      <c r="E31" s="21"/>
      <c r="F31" t="s">
        <v>145</v>
      </c>
      <c r="G31" s="19">
        <v>13</v>
      </c>
      <c r="H31" s="19"/>
      <c r="I31" s="19">
        <v>3</v>
      </c>
      <c r="K31" s="19"/>
      <c r="L31" t="str">
        <f t="shared" si="1"/>
        <v>ME</v>
      </c>
      <c r="M31">
        <f t="shared" si="2"/>
        <v>16</v>
      </c>
      <c r="N31">
        <f t="shared" si="3"/>
        <v>16</v>
      </c>
      <c r="O31">
        <f t="shared" si="4"/>
        <v>1</v>
      </c>
      <c r="Q31" t="s">
        <v>145</v>
      </c>
      <c r="R31" s="19"/>
      <c r="S31" s="19"/>
      <c r="T31" s="19"/>
      <c r="U31" s="19"/>
      <c r="V31" s="19"/>
      <c r="W31" s="19"/>
      <c r="X31" s="19"/>
      <c r="Y31" s="19">
        <v>16</v>
      </c>
      <c r="Z31" s="19"/>
      <c r="AA31" s="19"/>
      <c r="AB31" s="19"/>
      <c r="AC31" s="19"/>
      <c r="AD31" s="19"/>
      <c r="AE31" s="19"/>
      <c r="AF31" s="19"/>
    </row>
    <row r="32" spans="1:32" x14ac:dyDescent="0.35">
      <c r="A32" t="s">
        <v>149</v>
      </c>
      <c r="B32" s="21">
        <v>0.66666666666666663</v>
      </c>
      <c r="C32" s="21">
        <v>0.33333333333333331</v>
      </c>
      <c r="E32" s="21"/>
      <c r="F32" t="s">
        <v>149</v>
      </c>
      <c r="G32" s="19">
        <v>12</v>
      </c>
      <c r="H32" s="19"/>
      <c r="I32" s="19">
        <v>3</v>
      </c>
      <c r="K32" s="19"/>
      <c r="L32" t="str">
        <f t="shared" si="1"/>
        <v>ME</v>
      </c>
      <c r="M32">
        <f t="shared" si="2"/>
        <v>15</v>
      </c>
      <c r="N32">
        <f t="shared" si="3"/>
        <v>15</v>
      </c>
      <c r="O32">
        <f t="shared" si="4"/>
        <v>1</v>
      </c>
      <c r="Q32" t="s">
        <v>149</v>
      </c>
      <c r="R32" s="19"/>
      <c r="S32" s="19"/>
      <c r="T32" s="19"/>
      <c r="U32" s="19"/>
      <c r="V32" s="19"/>
      <c r="W32" s="19"/>
      <c r="X32" s="19"/>
      <c r="Y32" s="19">
        <v>15</v>
      </c>
      <c r="Z32" s="19"/>
      <c r="AA32" s="19"/>
      <c r="AB32" s="19"/>
      <c r="AC32" s="19"/>
      <c r="AD32" s="19"/>
      <c r="AE32" s="19"/>
      <c r="AF32" s="19"/>
    </row>
    <row r="33" spans="1:32" x14ac:dyDescent="0.35">
      <c r="A33" t="s">
        <v>152</v>
      </c>
      <c r="B33" s="21">
        <v>0.33333333333333331</v>
      </c>
      <c r="C33" s="21">
        <v>0.66666666666666663</v>
      </c>
      <c r="E33" s="21"/>
      <c r="F33" t="s">
        <v>152</v>
      </c>
      <c r="G33" s="19">
        <v>15</v>
      </c>
      <c r="H33" s="19"/>
      <c r="I33" s="19"/>
      <c r="K33" s="19"/>
      <c r="L33" t="str">
        <f t="shared" si="1"/>
        <v>CHEME</v>
      </c>
      <c r="M33">
        <f t="shared" si="2"/>
        <v>15</v>
      </c>
      <c r="N33">
        <f t="shared" si="3"/>
        <v>15</v>
      </c>
      <c r="O33">
        <f t="shared" si="4"/>
        <v>1</v>
      </c>
      <c r="Q33" t="s">
        <v>152</v>
      </c>
      <c r="R33" s="19"/>
      <c r="S33" s="19"/>
      <c r="T33" s="19">
        <v>15</v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</row>
    <row r="34" spans="1:32" x14ac:dyDescent="0.35">
      <c r="A34" t="s">
        <v>154</v>
      </c>
      <c r="B34" s="21">
        <v>0.5714285714285714</v>
      </c>
      <c r="C34" s="21">
        <v>0.42857142857142855</v>
      </c>
      <c r="E34" s="21"/>
      <c r="F34" t="s">
        <v>154</v>
      </c>
      <c r="G34" s="19">
        <v>19</v>
      </c>
      <c r="H34" s="19">
        <v>2</v>
      </c>
      <c r="I34" s="19"/>
      <c r="K34" s="19"/>
      <c r="L34" t="str">
        <f t="shared" si="1"/>
        <v>CS</v>
      </c>
      <c r="M34">
        <f t="shared" si="2"/>
        <v>21</v>
      </c>
      <c r="N34">
        <f t="shared" si="3"/>
        <v>21</v>
      </c>
      <c r="O34">
        <f t="shared" si="4"/>
        <v>1</v>
      </c>
      <c r="Q34" t="s">
        <v>154</v>
      </c>
      <c r="R34" s="19"/>
      <c r="S34" s="19"/>
      <c r="T34" s="19"/>
      <c r="U34" s="19">
        <v>21</v>
      </c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</row>
    <row r="35" spans="1:32" x14ac:dyDescent="0.35">
      <c r="A35" t="s">
        <v>156</v>
      </c>
      <c r="B35" s="21">
        <v>0.66666666666666663</v>
      </c>
      <c r="C35" s="21">
        <v>0.33333333333333331</v>
      </c>
      <c r="E35" s="21"/>
      <c r="F35" t="s">
        <v>156</v>
      </c>
      <c r="G35" s="19">
        <v>17</v>
      </c>
      <c r="H35" s="19">
        <v>2</v>
      </c>
      <c r="I35" s="19">
        <v>2</v>
      </c>
      <c r="K35" s="19"/>
      <c r="L35" t="str">
        <f t="shared" si="1"/>
        <v>EP</v>
      </c>
      <c r="M35">
        <f t="shared" si="2"/>
        <v>21</v>
      </c>
      <c r="N35">
        <f t="shared" si="3"/>
        <v>11</v>
      </c>
      <c r="O35">
        <f t="shared" si="4"/>
        <v>2</v>
      </c>
      <c r="Q35" t="s">
        <v>156</v>
      </c>
      <c r="R35" s="19"/>
      <c r="S35" s="19"/>
      <c r="T35" s="19"/>
      <c r="U35" s="19"/>
      <c r="V35" s="19"/>
      <c r="W35" s="19"/>
      <c r="X35" s="19">
        <v>11</v>
      </c>
      <c r="Y35" s="19">
        <v>10</v>
      </c>
      <c r="Z35" s="19"/>
      <c r="AA35" s="19"/>
      <c r="AB35" s="19"/>
      <c r="AC35" s="19"/>
      <c r="AD35" s="19"/>
      <c r="AE35" s="19"/>
      <c r="AF35" s="19"/>
    </row>
    <row r="36" spans="1:32" x14ac:dyDescent="0.35">
      <c r="A36" t="s">
        <v>142</v>
      </c>
      <c r="B36" s="21">
        <v>0.5</v>
      </c>
      <c r="C36" s="21">
        <v>0.5</v>
      </c>
      <c r="E36" s="21"/>
      <c r="F36" t="s">
        <v>142</v>
      </c>
      <c r="G36" s="19">
        <v>9</v>
      </c>
      <c r="H36" s="19">
        <v>5</v>
      </c>
      <c r="I36" s="19"/>
      <c r="K36" s="19"/>
      <c r="L36" t="str">
        <f t="shared" si="1"/>
        <v>CE</v>
      </c>
      <c r="M36">
        <f t="shared" si="2"/>
        <v>14</v>
      </c>
      <c r="N36">
        <f t="shared" si="3"/>
        <v>14</v>
      </c>
      <c r="O36">
        <f t="shared" si="4"/>
        <v>1</v>
      </c>
      <c r="Q36" t="s">
        <v>142</v>
      </c>
      <c r="R36" s="19"/>
      <c r="S36" s="19">
        <v>14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</row>
    <row r="37" spans="1:32" x14ac:dyDescent="0.35">
      <c r="A37" t="s">
        <v>158</v>
      </c>
      <c r="B37" s="21">
        <v>0.6875</v>
      </c>
      <c r="C37" s="21">
        <v>0.3125</v>
      </c>
      <c r="E37" s="21"/>
      <c r="F37" t="s">
        <v>158</v>
      </c>
      <c r="G37" s="19">
        <v>12</v>
      </c>
      <c r="H37" s="19">
        <v>4</v>
      </c>
      <c r="I37" s="19"/>
      <c r="K37" s="19"/>
      <c r="L37" t="str">
        <f t="shared" si="1"/>
        <v>ME</v>
      </c>
      <c r="M37">
        <f t="shared" si="2"/>
        <v>16</v>
      </c>
      <c r="N37">
        <f t="shared" si="3"/>
        <v>16</v>
      </c>
      <c r="O37">
        <f t="shared" si="4"/>
        <v>1</v>
      </c>
      <c r="Q37" t="s">
        <v>158</v>
      </c>
      <c r="R37" s="19"/>
      <c r="S37" s="19"/>
      <c r="T37" s="19"/>
      <c r="U37" s="19"/>
      <c r="V37" s="19"/>
      <c r="W37" s="19"/>
      <c r="X37" s="19"/>
      <c r="Y37" s="19">
        <v>16</v>
      </c>
      <c r="Z37" s="19"/>
      <c r="AA37" s="19"/>
      <c r="AB37" s="19"/>
      <c r="AC37" s="19"/>
      <c r="AD37" s="19"/>
      <c r="AE37" s="19"/>
      <c r="AF37" s="19"/>
    </row>
    <row r="38" spans="1:32" x14ac:dyDescent="0.35">
      <c r="A38" t="s">
        <v>153</v>
      </c>
      <c r="B38" s="21">
        <v>0.3125</v>
      </c>
      <c r="C38" s="21">
        <v>0.6875</v>
      </c>
      <c r="E38" s="21"/>
      <c r="F38" t="s">
        <v>153</v>
      </c>
      <c r="G38" s="19">
        <v>14</v>
      </c>
      <c r="H38" s="19">
        <v>2</v>
      </c>
      <c r="I38" s="19"/>
      <c r="K38" s="19"/>
      <c r="L38" t="str">
        <f t="shared" si="1"/>
        <v>CHEME</v>
      </c>
      <c r="M38">
        <f t="shared" si="2"/>
        <v>16</v>
      </c>
      <c r="N38">
        <f t="shared" si="3"/>
        <v>16</v>
      </c>
      <c r="O38">
        <f t="shared" si="4"/>
        <v>1</v>
      </c>
      <c r="Q38" t="s">
        <v>153</v>
      </c>
      <c r="R38" s="19"/>
      <c r="S38" s="19"/>
      <c r="T38" s="19">
        <v>16</v>
      </c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</row>
    <row r="39" spans="1:32" x14ac:dyDescent="0.35">
      <c r="A39" t="s">
        <v>159</v>
      </c>
      <c r="B39" s="21">
        <v>0.38095238095238093</v>
      </c>
      <c r="C39" s="21">
        <v>0.61904761904761907</v>
      </c>
      <c r="E39" s="21"/>
      <c r="F39" t="s">
        <v>159</v>
      </c>
      <c r="G39" s="19">
        <v>17</v>
      </c>
      <c r="H39" s="19">
        <v>2</v>
      </c>
      <c r="I39" s="19">
        <v>2</v>
      </c>
      <c r="K39" s="19"/>
      <c r="L39" t="str">
        <f t="shared" si="1"/>
        <v>CHEME</v>
      </c>
      <c r="M39">
        <f t="shared" si="2"/>
        <v>21</v>
      </c>
      <c r="N39">
        <f t="shared" si="3"/>
        <v>21</v>
      </c>
      <c r="O39">
        <f t="shared" si="4"/>
        <v>1</v>
      </c>
      <c r="Q39" t="s">
        <v>159</v>
      </c>
      <c r="R39" s="19"/>
      <c r="S39" s="19"/>
      <c r="T39" s="19">
        <v>21</v>
      </c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</row>
    <row r="40" spans="1:32" x14ac:dyDescent="0.35">
      <c r="A40" t="s">
        <v>150</v>
      </c>
      <c r="B40" s="21">
        <v>0.4</v>
      </c>
      <c r="C40" s="21">
        <v>0.6</v>
      </c>
      <c r="E40" s="21"/>
      <c r="F40" t="s">
        <v>150</v>
      </c>
      <c r="G40" s="19">
        <v>18</v>
      </c>
      <c r="H40" s="19">
        <v>2</v>
      </c>
      <c r="I40" s="19"/>
      <c r="K40" s="19"/>
      <c r="L40" t="str">
        <f t="shared" si="1"/>
        <v>MSE</v>
      </c>
      <c r="M40">
        <f t="shared" si="2"/>
        <v>20</v>
      </c>
      <c r="N40">
        <f t="shared" si="3"/>
        <v>12</v>
      </c>
      <c r="O40">
        <f t="shared" si="4"/>
        <v>2</v>
      </c>
      <c r="Q40" t="s">
        <v>150</v>
      </c>
      <c r="R40" s="19"/>
      <c r="S40" s="19"/>
      <c r="T40" s="19"/>
      <c r="U40" s="19"/>
      <c r="V40" s="19"/>
      <c r="W40" s="19"/>
      <c r="X40" s="19"/>
      <c r="Y40" s="19">
        <v>8</v>
      </c>
      <c r="Z40" s="19">
        <v>12</v>
      </c>
      <c r="AA40" s="19"/>
      <c r="AB40" s="19"/>
      <c r="AC40" s="19"/>
      <c r="AD40" s="19"/>
      <c r="AE40" s="19"/>
      <c r="AF40" s="19"/>
    </row>
    <row r="41" spans="1:32" x14ac:dyDescent="0.35">
      <c r="A41" t="s">
        <v>163</v>
      </c>
      <c r="B41" s="21">
        <v>0.42857142857142855</v>
      </c>
      <c r="C41" s="21">
        <v>0.5714285714285714</v>
      </c>
      <c r="E41" s="21"/>
      <c r="F41" t="s">
        <v>163</v>
      </c>
      <c r="G41" s="19">
        <v>12</v>
      </c>
      <c r="H41" s="19"/>
      <c r="I41" s="19">
        <v>2</v>
      </c>
      <c r="K41" s="19"/>
      <c r="L41" t="str">
        <f t="shared" si="1"/>
        <v>Undecided</v>
      </c>
      <c r="M41">
        <f t="shared" si="2"/>
        <v>14</v>
      </c>
      <c r="N41">
        <f t="shared" si="3"/>
        <v>14</v>
      </c>
      <c r="O41">
        <f t="shared" si="4"/>
        <v>1</v>
      </c>
      <c r="Q41" t="s">
        <v>163</v>
      </c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>
        <v>14</v>
      </c>
      <c r="AE41" s="19"/>
      <c r="AF41" s="19"/>
    </row>
    <row r="42" spans="1:32" x14ac:dyDescent="0.35">
      <c r="A42" t="s">
        <v>167</v>
      </c>
      <c r="B42" s="21">
        <v>0.5714285714285714</v>
      </c>
      <c r="C42" s="21">
        <v>0.42857142857142855</v>
      </c>
      <c r="E42" s="21"/>
      <c r="F42" t="s">
        <v>167</v>
      </c>
      <c r="G42" s="19">
        <v>14</v>
      </c>
      <c r="H42" s="19"/>
      <c r="I42" s="19"/>
      <c r="K42" s="19"/>
      <c r="L42" t="str">
        <f t="shared" si="1"/>
        <v>OR</v>
      </c>
      <c r="M42">
        <f t="shared" si="2"/>
        <v>14</v>
      </c>
      <c r="N42">
        <f t="shared" si="3"/>
        <v>14</v>
      </c>
      <c r="O42">
        <f t="shared" si="4"/>
        <v>1</v>
      </c>
      <c r="Q42" t="s">
        <v>167</v>
      </c>
      <c r="R42" s="19"/>
      <c r="S42" s="19"/>
      <c r="T42" s="19"/>
      <c r="U42" s="19"/>
      <c r="V42" s="19"/>
      <c r="W42" s="19"/>
      <c r="X42" s="19"/>
      <c r="Y42" s="19"/>
      <c r="Z42" s="19"/>
      <c r="AA42" s="19">
        <v>14</v>
      </c>
      <c r="AB42" s="19"/>
      <c r="AC42" s="19"/>
      <c r="AD42" s="19"/>
      <c r="AE42" s="19"/>
      <c r="AF42" s="19"/>
    </row>
    <row r="43" spans="1:32" x14ac:dyDescent="0.35">
      <c r="A43" t="s">
        <v>169</v>
      </c>
      <c r="B43" s="21">
        <v>0.42105263157894735</v>
      </c>
      <c r="C43" s="21">
        <v>0.57894736842105265</v>
      </c>
      <c r="E43" s="21"/>
      <c r="F43" t="s">
        <v>169</v>
      </c>
      <c r="G43" s="19">
        <v>14</v>
      </c>
      <c r="H43" s="19">
        <v>2</v>
      </c>
      <c r="I43" s="19">
        <v>3</v>
      </c>
      <c r="K43" s="19"/>
      <c r="L43" t="str">
        <f t="shared" si="1"/>
        <v>CHEME</v>
      </c>
      <c r="M43">
        <f t="shared" si="2"/>
        <v>19</v>
      </c>
      <c r="N43">
        <f t="shared" si="3"/>
        <v>19</v>
      </c>
      <c r="O43">
        <f t="shared" si="4"/>
        <v>1</v>
      </c>
      <c r="Q43" t="s">
        <v>169</v>
      </c>
      <c r="R43" s="19"/>
      <c r="S43" s="19"/>
      <c r="T43" s="19">
        <v>19</v>
      </c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</row>
    <row r="44" spans="1:32" x14ac:dyDescent="0.35">
      <c r="A44" t="s">
        <v>170</v>
      </c>
      <c r="B44" s="21">
        <v>0.6428571428571429</v>
      </c>
      <c r="C44" s="21">
        <v>0.35714285714285715</v>
      </c>
      <c r="E44" s="21"/>
      <c r="F44" t="s">
        <v>170</v>
      </c>
      <c r="G44" s="19">
        <v>12</v>
      </c>
      <c r="H44" s="19">
        <v>2</v>
      </c>
      <c r="I44" s="19"/>
      <c r="K44" s="19"/>
      <c r="L44" t="str">
        <f t="shared" si="1"/>
        <v>ME</v>
      </c>
      <c r="M44">
        <f t="shared" si="2"/>
        <v>14</v>
      </c>
      <c r="N44">
        <f t="shared" si="3"/>
        <v>10</v>
      </c>
      <c r="O44">
        <f t="shared" si="4"/>
        <v>3</v>
      </c>
      <c r="Q44" t="s">
        <v>170</v>
      </c>
      <c r="R44" s="19"/>
      <c r="S44" s="19"/>
      <c r="T44" s="19"/>
      <c r="U44" s="19"/>
      <c r="V44" s="19"/>
      <c r="W44" s="19"/>
      <c r="X44" s="19">
        <v>2</v>
      </c>
      <c r="Y44" s="19">
        <v>10</v>
      </c>
      <c r="Z44" s="19">
        <v>2</v>
      </c>
      <c r="AA44" s="19"/>
      <c r="AB44" s="19"/>
      <c r="AC44" s="19"/>
      <c r="AD44" s="19"/>
      <c r="AE44" s="19"/>
      <c r="AF44" s="19"/>
    </row>
    <row r="45" spans="1:32" x14ac:dyDescent="0.35">
      <c r="A45" t="s">
        <v>172</v>
      </c>
      <c r="B45" s="21">
        <v>0.5714285714285714</v>
      </c>
      <c r="C45" s="21">
        <v>0.42857142857142855</v>
      </c>
      <c r="E45" s="21"/>
      <c r="F45" t="s">
        <v>172</v>
      </c>
      <c r="G45" s="19">
        <v>18</v>
      </c>
      <c r="H45" s="19">
        <v>3</v>
      </c>
      <c r="I45" s="19"/>
      <c r="K45" s="19"/>
      <c r="L45" t="str">
        <f t="shared" si="1"/>
        <v>CS</v>
      </c>
      <c r="M45">
        <f t="shared" si="2"/>
        <v>21</v>
      </c>
      <c r="N45">
        <f t="shared" si="3"/>
        <v>21</v>
      </c>
      <c r="O45">
        <f t="shared" si="4"/>
        <v>1</v>
      </c>
      <c r="Q45" t="s">
        <v>172</v>
      </c>
      <c r="R45" s="19"/>
      <c r="S45" s="19"/>
      <c r="T45" s="19"/>
      <c r="U45" s="19">
        <v>21</v>
      </c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</row>
    <row r="46" spans="1:32" x14ac:dyDescent="0.35">
      <c r="A46" t="s">
        <v>175</v>
      </c>
      <c r="B46" s="21">
        <v>0.6875</v>
      </c>
      <c r="C46" s="21">
        <v>0.3125</v>
      </c>
      <c r="E46" s="21"/>
      <c r="F46" t="s">
        <v>175</v>
      </c>
      <c r="G46" s="19">
        <v>12</v>
      </c>
      <c r="H46" s="19">
        <v>4</v>
      </c>
      <c r="I46" s="19"/>
      <c r="K46" s="19"/>
      <c r="L46" t="str">
        <f t="shared" si="1"/>
        <v>ECE</v>
      </c>
      <c r="M46">
        <f t="shared" si="2"/>
        <v>16</v>
      </c>
      <c r="N46">
        <f t="shared" si="3"/>
        <v>16</v>
      </c>
      <c r="O46">
        <f t="shared" si="4"/>
        <v>1</v>
      </c>
      <c r="Q46" t="s">
        <v>175</v>
      </c>
      <c r="R46" s="19"/>
      <c r="S46" s="19"/>
      <c r="T46" s="19"/>
      <c r="U46" s="19"/>
      <c r="V46" s="19">
        <v>16</v>
      </c>
      <c r="W46" s="19"/>
      <c r="X46" s="19"/>
      <c r="Y46" s="19"/>
      <c r="Z46" s="19"/>
      <c r="AA46" s="19"/>
      <c r="AB46" s="19"/>
      <c r="AC46" s="19"/>
      <c r="AD46" s="19"/>
      <c r="AE46" s="19"/>
      <c r="AF46" s="19"/>
    </row>
    <row r="47" spans="1:32" x14ac:dyDescent="0.35">
      <c r="A47" t="s">
        <v>44</v>
      </c>
      <c r="B47" s="21">
        <v>0.66666666666666663</v>
      </c>
      <c r="C47" s="21">
        <v>0.33333333333333331</v>
      </c>
      <c r="E47" s="21"/>
      <c r="F47" t="s">
        <v>44</v>
      </c>
      <c r="G47" s="19">
        <v>12</v>
      </c>
      <c r="H47" s="19">
        <v>3</v>
      </c>
      <c r="I47" s="19"/>
      <c r="K47" s="19"/>
      <c r="L47" t="str">
        <f t="shared" si="1"/>
        <v>ME</v>
      </c>
      <c r="M47">
        <f t="shared" si="2"/>
        <v>15</v>
      </c>
      <c r="N47">
        <f t="shared" si="3"/>
        <v>14</v>
      </c>
      <c r="O47">
        <f t="shared" si="4"/>
        <v>2</v>
      </c>
      <c r="Q47" t="s">
        <v>44</v>
      </c>
      <c r="R47" s="19"/>
      <c r="S47" s="19"/>
      <c r="T47" s="19"/>
      <c r="U47" s="19"/>
      <c r="V47" s="19"/>
      <c r="W47" s="19"/>
      <c r="X47" s="19"/>
      <c r="Y47" s="19">
        <v>14</v>
      </c>
      <c r="Z47" s="19"/>
      <c r="AA47" s="19"/>
      <c r="AB47" s="19"/>
      <c r="AC47" s="19"/>
      <c r="AD47" s="19">
        <v>1</v>
      </c>
      <c r="AE47" s="19"/>
      <c r="AF47" s="19"/>
    </row>
    <row r="48" spans="1:32" x14ac:dyDescent="0.35">
      <c r="A48" t="s">
        <v>177</v>
      </c>
      <c r="B48" s="21">
        <v>0.7</v>
      </c>
      <c r="C48" s="21">
        <v>0.3</v>
      </c>
      <c r="E48" s="21"/>
      <c r="F48" t="s">
        <v>177</v>
      </c>
      <c r="G48" s="19">
        <v>16</v>
      </c>
      <c r="H48" s="19">
        <v>2</v>
      </c>
      <c r="I48" s="19">
        <v>2</v>
      </c>
      <c r="K48" s="19"/>
      <c r="L48" t="str">
        <f t="shared" si="1"/>
        <v>ME</v>
      </c>
      <c r="M48">
        <f t="shared" si="2"/>
        <v>20</v>
      </c>
      <c r="N48">
        <f t="shared" si="3"/>
        <v>20</v>
      </c>
      <c r="O48">
        <f t="shared" si="4"/>
        <v>1</v>
      </c>
      <c r="Q48" t="s">
        <v>177</v>
      </c>
      <c r="R48" s="19"/>
      <c r="S48" s="19"/>
      <c r="T48" s="19"/>
      <c r="U48" s="19"/>
      <c r="V48" s="19"/>
      <c r="W48" s="19"/>
      <c r="X48" s="19"/>
      <c r="Y48" s="19">
        <v>20</v>
      </c>
      <c r="Z48" s="19"/>
      <c r="AA48" s="19"/>
      <c r="AB48" s="19"/>
      <c r="AC48" s="19"/>
      <c r="AD48" s="19"/>
      <c r="AE48" s="19"/>
      <c r="AF48" s="19"/>
    </row>
    <row r="49" spans="1:32" x14ac:dyDescent="0.35">
      <c r="A49" t="s">
        <v>178</v>
      </c>
      <c r="B49" s="21">
        <v>0.33333333333333331</v>
      </c>
      <c r="C49" s="21">
        <v>0.66666666666666663</v>
      </c>
      <c r="E49" s="21"/>
      <c r="F49" t="s">
        <v>178</v>
      </c>
      <c r="G49" s="19">
        <v>19</v>
      </c>
      <c r="H49" s="19">
        <v>2</v>
      </c>
      <c r="I49" s="19"/>
      <c r="K49" s="19"/>
      <c r="L49" t="str">
        <f t="shared" si="1"/>
        <v>OR</v>
      </c>
      <c r="M49">
        <f t="shared" si="2"/>
        <v>21</v>
      </c>
      <c r="N49">
        <f t="shared" si="3"/>
        <v>20</v>
      </c>
      <c r="O49">
        <f t="shared" si="4"/>
        <v>2</v>
      </c>
      <c r="Q49" t="s">
        <v>178</v>
      </c>
      <c r="R49" s="19"/>
      <c r="S49" s="19"/>
      <c r="T49" s="19"/>
      <c r="U49" s="19"/>
      <c r="V49" s="19"/>
      <c r="W49" s="19"/>
      <c r="X49" s="19"/>
      <c r="Y49" s="19"/>
      <c r="Z49" s="19"/>
      <c r="AA49" s="19">
        <v>20</v>
      </c>
      <c r="AB49" s="19"/>
      <c r="AC49" s="19"/>
      <c r="AD49" s="19">
        <v>1</v>
      </c>
      <c r="AE49" s="19"/>
      <c r="AF49" s="19"/>
    </row>
    <row r="50" spans="1:32" x14ac:dyDescent="0.35">
      <c r="A50" t="s">
        <v>176</v>
      </c>
      <c r="B50" s="21">
        <v>0.65</v>
      </c>
      <c r="C50" s="21">
        <v>0.35</v>
      </c>
      <c r="E50" s="21"/>
      <c r="F50" t="s">
        <v>176</v>
      </c>
      <c r="G50" s="19">
        <v>15</v>
      </c>
      <c r="H50" s="19">
        <v>2</v>
      </c>
      <c r="I50" s="19">
        <v>3</v>
      </c>
      <c r="K50" s="19"/>
      <c r="L50" t="str">
        <f t="shared" si="1"/>
        <v>ME</v>
      </c>
      <c r="M50">
        <f t="shared" si="2"/>
        <v>20</v>
      </c>
      <c r="N50">
        <f t="shared" si="3"/>
        <v>11</v>
      </c>
      <c r="O50">
        <f t="shared" si="4"/>
        <v>2</v>
      </c>
      <c r="Q50" t="s">
        <v>176</v>
      </c>
      <c r="R50" s="19"/>
      <c r="S50" s="19"/>
      <c r="T50" s="19"/>
      <c r="U50" s="19"/>
      <c r="V50" s="19"/>
      <c r="W50" s="19"/>
      <c r="X50" s="19"/>
      <c r="Y50" s="19">
        <v>11</v>
      </c>
      <c r="Z50" s="19">
        <v>9</v>
      </c>
      <c r="AA50" s="19"/>
      <c r="AB50" s="19"/>
      <c r="AC50" s="19"/>
      <c r="AD50" s="19"/>
      <c r="AE50" s="19"/>
      <c r="AF50" s="19"/>
    </row>
    <row r="51" spans="1:32" x14ac:dyDescent="0.35">
      <c r="A51" t="s">
        <v>181</v>
      </c>
      <c r="B51" s="21">
        <v>0.35714285714285715</v>
      </c>
      <c r="C51" s="21">
        <v>0.6428571428571429</v>
      </c>
      <c r="E51" s="21"/>
      <c r="F51" t="s">
        <v>181</v>
      </c>
      <c r="G51" s="19">
        <v>12</v>
      </c>
      <c r="H51" s="19">
        <v>2</v>
      </c>
      <c r="I51" s="19"/>
      <c r="K51" s="19"/>
      <c r="L51" t="str">
        <f t="shared" si="1"/>
        <v>ISST</v>
      </c>
      <c r="M51">
        <f t="shared" si="2"/>
        <v>14</v>
      </c>
      <c r="N51">
        <f t="shared" si="3"/>
        <v>10</v>
      </c>
      <c r="O51">
        <f t="shared" si="4"/>
        <v>2</v>
      </c>
      <c r="Q51" t="s">
        <v>181</v>
      </c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>
        <v>4</v>
      </c>
      <c r="AE51" s="19"/>
      <c r="AF51" s="19">
        <v>10</v>
      </c>
    </row>
    <row r="52" spans="1:32" x14ac:dyDescent="0.35">
      <c r="A52" t="s">
        <v>173</v>
      </c>
      <c r="B52" s="21">
        <v>0.52380952380952384</v>
      </c>
      <c r="C52" s="21">
        <v>0.47619047619047616</v>
      </c>
      <c r="F52" t="s">
        <v>173</v>
      </c>
      <c r="G52" s="19">
        <v>19</v>
      </c>
      <c r="H52" s="19"/>
      <c r="I52" s="19">
        <v>2</v>
      </c>
      <c r="L52" t="str">
        <f t="shared" si="1"/>
        <v>ECE</v>
      </c>
      <c r="M52">
        <f t="shared" si="2"/>
        <v>21</v>
      </c>
      <c r="N52">
        <f t="shared" si="3"/>
        <v>16</v>
      </c>
      <c r="O52">
        <f t="shared" si="4"/>
        <v>2</v>
      </c>
      <c r="Q52" t="s">
        <v>173</v>
      </c>
      <c r="R52" s="19">
        <v>5</v>
      </c>
      <c r="S52" s="19"/>
      <c r="T52" s="19"/>
      <c r="U52" s="19"/>
      <c r="V52" s="19">
        <v>16</v>
      </c>
      <c r="W52" s="19"/>
      <c r="X52" s="19"/>
      <c r="Y52" s="19"/>
      <c r="Z52" s="19"/>
      <c r="AA52" s="19"/>
      <c r="AB52" s="19"/>
      <c r="AC52" s="19"/>
      <c r="AD52" s="19"/>
      <c r="AE52" s="19"/>
      <c r="AF52" s="19"/>
    </row>
    <row r="53" spans="1:32" x14ac:dyDescent="0.35">
      <c r="A53" t="s">
        <v>185</v>
      </c>
      <c r="B53" s="21">
        <v>0.66666666666666663</v>
      </c>
      <c r="C53" s="21">
        <v>0.33333333333333331</v>
      </c>
      <c r="F53" t="s">
        <v>185</v>
      </c>
      <c r="G53" s="19">
        <v>19</v>
      </c>
      <c r="H53" s="19">
        <v>2</v>
      </c>
      <c r="I53" s="19"/>
      <c r="L53" t="str">
        <f t="shared" si="1"/>
        <v>CS</v>
      </c>
      <c r="M53">
        <f t="shared" si="2"/>
        <v>21</v>
      </c>
      <c r="N53">
        <f t="shared" si="3"/>
        <v>21</v>
      </c>
      <c r="O53">
        <f t="shared" si="4"/>
        <v>1</v>
      </c>
      <c r="Q53" t="s">
        <v>185</v>
      </c>
      <c r="R53" s="19"/>
      <c r="S53" s="19"/>
      <c r="T53" s="19"/>
      <c r="U53" s="19">
        <v>21</v>
      </c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</row>
    <row r="54" spans="1:32" x14ac:dyDescent="0.35">
      <c r="A54" t="s">
        <v>47</v>
      </c>
      <c r="B54" s="21">
        <v>0.6428571428571429</v>
      </c>
      <c r="C54" s="21">
        <v>0.35714285714285715</v>
      </c>
      <c r="F54" t="s">
        <v>47</v>
      </c>
      <c r="G54" s="19">
        <v>10</v>
      </c>
      <c r="H54" s="19">
        <v>2</v>
      </c>
      <c r="I54" s="19">
        <v>2</v>
      </c>
      <c r="L54" t="str">
        <f t="shared" si="1"/>
        <v>Undecided</v>
      </c>
      <c r="M54">
        <f t="shared" si="2"/>
        <v>14</v>
      </c>
      <c r="N54">
        <f t="shared" si="3"/>
        <v>14</v>
      </c>
      <c r="O54">
        <f t="shared" si="4"/>
        <v>1</v>
      </c>
      <c r="Q54" t="s">
        <v>47</v>
      </c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>
        <v>14</v>
      </c>
      <c r="AE54" s="19"/>
      <c r="AF54" s="19"/>
    </row>
    <row r="55" spans="1:32" x14ac:dyDescent="0.35">
      <c r="A55" t="s">
        <v>188</v>
      </c>
      <c r="B55" s="21">
        <v>0.42857142857142855</v>
      </c>
      <c r="C55" s="21">
        <v>0.5714285714285714</v>
      </c>
      <c r="F55" t="s">
        <v>188</v>
      </c>
      <c r="G55" s="19">
        <v>19</v>
      </c>
      <c r="H55" s="19">
        <v>2</v>
      </c>
      <c r="I55" s="19"/>
      <c r="L55" t="str">
        <f t="shared" si="1"/>
        <v>CS</v>
      </c>
      <c r="M55">
        <f t="shared" si="2"/>
        <v>21</v>
      </c>
      <c r="N55">
        <f t="shared" si="3"/>
        <v>21</v>
      </c>
      <c r="O55">
        <f t="shared" si="4"/>
        <v>1</v>
      </c>
      <c r="Q55" t="s">
        <v>188</v>
      </c>
      <c r="R55" s="19"/>
      <c r="S55" s="19"/>
      <c r="T55" s="19"/>
      <c r="U55" s="19">
        <v>21</v>
      </c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</row>
    <row r="56" spans="1:32" x14ac:dyDescent="0.35">
      <c r="L56" t="str">
        <f t="shared" si="1"/>
        <v/>
      </c>
      <c r="M56" t="str">
        <f t="shared" si="2"/>
        <v/>
      </c>
      <c r="N56" t="str">
        <f t="shared" si="3"/>
        <v/>
      </c>
      <c r="O56" t="str">
        <f t="shared" si="4"/>
        <v/>
      </c>
    </row>
    <row r="57" spans="1:32" x14ac:dyDescent="0.35">
      <c r="L57" t="str">
        <f t="shared" si="1"/>
        <v/>
      </c>
      <c r="M57" t="str">
        <f t="shared" si="2"/>
        <v/>
      </c>
      <c r="N57" t="str">
        <f t="shared" si="3"/>
        <v/>
      </c>
      <c r="O57" t="str">
        <f t="shared" si="4"/>
        <v/>
      </c>
    </row>
    <row r="58" spans="1:32" x14ac:dyDescent="0.35">
      <c r="L58" t="str">
        <f t="shared" si="1"/>
        <v/>
      </c>
      <c r="M58" t="str">
        <f t="shared" si="2"/>
        <v/>
      </c>
      <c r="N58" t="str">
        <f t="shared" si="3"/>
        <v/>
      </c>
      <c r="O58" t="str">
        <f t="shared" si="4"/>
        <v/>
      </c>
    </row>
    <row r="59" spans="1:32" x14ac:dyDescent="0.35">
      <c r="L59" t="str">
        <f t="shared" si="1"/>
        <v/>
      </c>
      <c r="M59" t="str">
        <f t="shared" si="2"/>
        <v/>
      </c>
      <c r="N59" t="str">
        <f t="shared" si="3"/>
        <v/>
      </c>
      <c r="O59" t="str">
        <f t="shared" si="4"/>
        <v/>
      </c>
    </row>
    <row r="60" spans="1:32" x14ac:dyDescent="0.35">
      <c r="L60" t="str">
        <f t="shared" si="1"/>
        <v/>
      </c>
      <c r="M60" t="str">
        <f t="shared" si="2"/>
        <v/>
      </c>
      <c r="N60" t="str">
        <f t="shared" si="3"/>
        <v/>
      </c>
      <c r="O60" t="str">
        <f t="shared" si="4"/>
        <v/>
      </c>
    </row>
    <row r="61" spans="1:32" x14ac:dyDescent="0.35">
      <c r="L61" t="str">
        <f t="shared" si="1"/>
        <v/>
      </c>
      <c r="M61" t="str">
        <f t="shared" si="2"/>
        <v/>
      </c>
      <c r="N61" t="str">
        <f t="shared" si="3"/>
        <v/>
      </c>
      <c r="O61" t="str">
        <f t="shared" si="4"/>
        <v/>
      </c>
    </row>
    <row r="62" spans="1:32" x14ac:dyDescent="0.35">
      <c r="L62" t="str">
        <f t="shared" si="1"/>
        <v/>
      </c>
      <c r="M62" t="str">
        <f t="shared" si="2"/>
        <v/>
      </c>
      <c r="N62" t="str">
        <f t="shared" si="3"/>
        <v/>
      </c>
      <c r="O62" t="str">
        <f t="shared" si="4"/>
        <v/>
      </c>
    </row>
    <row r="63" spans="1:32" x14ac:dyDescent="0.35">
      <c r="L63" t="str">
        <f t="shared" si="1"/>
        <v/>
      </c>
      <c r="M63" t="str">
        <f t="shared" si="2"/>
        <v/>
      </c>
      <c r="N63" t="str">
        <f t="shared" si="3"/>
        <v/>
      </c>
      <c r="O63" t="str">
        <f t="shared" si="4"/>
        <v/>
      </c>
    </row>
    <row r="64" spans="1:32" x14ac:dyDescent="0.35">
      <c r="L64" t="str">
        <f t="shared" si="1"/>
        <v/>
      </c>
      <c r="M64" t="str">
        <f t="shared" si="2"/>
        <v/>
      </c>
      <c r="N64" t="str">
        <f t="shared" si="3"/>
        <v/>
      </c>
      <c r="O64" t="str">
        <f t="shared" si="4"/>
        <v/>
      </c>
    </row>
    <row r="65" spans="12:15" x14ac:dyDescent="0.35">
      <c r="L65" t="str">
        <f t="shared" si="1"/>
        <v/>
      </c>
      <c r="M65" t="str">
        <f t="shared" si="2"/>
        <v/>
      </c>
      <c r="N65" t="str">
        <f t="shared" si="3"/>
        <v/>
      </c>
      <c r="O65" t="str">
        <f t="shared" si="4"/>
        <v/>
      </c>
    </row>
    <row r="66" spans="12:15" x14ac:dyDescent="0.35">
      <c r="L66" t="str">
        <f t="shared" si="1"/>
        <v/>
      </c>
      <c r="M66" t="str">
        <f t="shared" si="2"/>
        <v/>
      </c>
      <c r="N66" t="str">
        <f t="shared" si="3"/>
        <v/>
      </c>
      <c r="O66" t="str">
        <f t="shared" si="4"/>
        <v/>
      </c>
    </row>
    <row r="67" spans="12:15" x14ac:dyDescent="0.35">
      <c r="L67" t="str">
        <f t="shared" si="1"/>
        <v/>
      </c>
      <c r="M67" t="str">
        <f t="shared" si="2"/>
        <v/>
      </c>
      <c r="N67" t="str">
        <f t="shared" si="3"/>
        <v/>
      </c>
      <c r="O67" t="str">
        <f t="shared" si="4"/>
        <v/>
      </c>
    </row>
    <row r="68" spans="12:15" x14ac:dyDescent="0.35">
      <c r="L68" t="str">
        <f t="shared" si="1"/>
        <v/>
      </c>
      <c r="M68" t="str">
        <f t="shared" si="2"/>
        <v/>
      </c>
      <c r="N68" t="str">
        <f t="shared" si="3"/>
        <v/>
      </c>
      <c r="O68" t="str">
        <f t="shared" si="4"/>
        <v/>
      </c>
    </row>
    <row r="69" spans="12:15" x14ac:dyDescent="0.35">
      <c r="L69" t="str">
        <f t="shared" si="1"/>
        <v/>
      </c>
      <c r="M69" t="str">
        <f t="shared" si="2"/>
        <v/>
      </c>
      <c r="N69" t="str">
        <f t="shared" si="3"/>
        <v/>
      </c>
      <c r="O69" t="str">
        <f t="shared" si="4"/>
        <v/>
      </c>
    </row>
    <row r="70" spans="12:15" x14ac:dyDescent="0.35">
      <c r="L70" t="str">
        <f t="shared" si="1"/>
        <v/>
      </c>
      <c r="M70" t="str">
        <f t="shared" si="2"/>
        <v/>
      </c>
      <c r="N70" t="str">
        <f t="shared" si="3"/>
        <v/>
      </c>
      <c r="O70" t="str">
        <f t="shared" si="4"/>
        <v/>
      </c>
    </row>
    <row r="71" spans="12:15" x14ac:dyDescent="0.35">
      <c r="L71" t="str">
        <f t="shared" si="1"/>
        <v/>
      </c>
      <c r="M71" t="str">
        <f t="shared" si="2"/>
        <v/>
      </c>
      <c r="N71" t="str">
        <f t="shared" si="3"/>
        <v/>
      </c>
      <c r="O71" t="str">
        <f t="shared" si="4"/>
        <v/>
      </c>
    </row>
    <row r="72" spans="12:15" x14ac:dyDescent="0.35">
      <c r="L72" t="str">
        <f t="shared" si="1"/>
        <v/>
      </c>
      <c r="M72" t="str">
        <f t="shared" si="2"/>
        <v/>
      </c>
      <c r="N72" t="str">
        <f t="shared" si="3"/>
        <v/>
      </c>
      <c r="O72" t="str">
        <f t="shared" si="4"/>
        <v/>
      </c>
    </row>
    <row r="73" spans="12:15" x14ac:dyDescent="0.35">
      <c r="L73" t="str">
        <f t="shared" si="1"/>
        <v/>
      </c>
      <c r="M73" t="str">
        <f t="shared" si="2"/>
        <v/>
      </c>
      <c r="N73" t="str">
        <f t="shared" si="3"/>
        <v/>
      </c>
      <c r="O73" t="str">
        <f t="shared" si="4"/>
        <v/>
      </c>
    </row>
    <row r="74" spans="12:15" x14ac:dyDescent="0.35">
      <c r="L74" t="str">
        <f t="shared" si="1"/>
        <v/>
      </c>
      <c r="M74" t="str">
        <f t="shared" si="2"/>
        <v/>
      </c>
      <c r="N74" t="str">
        <f t="shared" si="3"/>
        <v/>
      </c>
      <c r="O74" t="str">
        <f t="shared" si="4"/>
        <v/>
      </c>
    </row>
    <row r="75" spans="12:15" x14ac:dyDescent="0.35">
      <c r="L75" t="str">
        <f t="shared" si="1"/>
        <v/>
      </c>
      <c r="M75" t="str">
        <f t="shared" si="2"/>
        <v/>
      </c>
      <c r="N75" t="str">
        <f t="shared" si="3"/>
        <v/>
      </c>
      <c r="O75" t="str">
        <f t="shared" si="4"/>
        <v/>
      </c>
    </row>
    <row r="76" spans="12:15" x14ac:dyDescent="0.35">
      <c r="L76" t="str">
        <f t="shared" ref="L76:L108" si="5">IFERROR(INDEX($R$10:$AG$10,0,MATCH(N76,R76:AG76,0)),"")</f>
        <v/>
      </c>
      <c r="M76" t="str">
        <f t="shared" ref="M76:M108" si="6">IF(SUM(R76:AG76)=0,"",SUM(R76:AG76))</f>
        <v/>
      </c>
      <c r="N76" t="str">
        <f t="shared" ref="N76:N108" si="7">IF(MAX(R76:AG76)=0,"",MAX(R76:AG76))</f>
        <v/>
      </c>
      <c r="O76" t="str">
        <f t="shared" ref="O76:O108" si="8">IF(COUNT(R76:AG76)=0,"",COUNT(R76:AG76))</f>
        <v/>
      </c>
    </row>
    <row r="77" spans="12:15" x14ac:dyDescent="0.35">
      <c r="L77" t="str">
        <f t="shared" si="5"/>
        <v/>
      </c>
      <c r="M77" t="str">
        <f t="shared" si="6"/>
        <v/>
      </c>
      <c r="N77" t="str">
        <f t="shared" si="7"/>
        <v/>
      </c>
      <c r="O77" t="str">
        <f t="shared" si="8"/>
        <v/>
      </c>
    </row>
    <row r="78" spans="12:15" x14ac:dyDescent="0.35">
      <c r="L78" t="str">
        <f t="shared" si="5"/>
        <v/>
      </c>
      <c r="M78" t="str">
        <f t="shared" si="6"/>
        <v/>
      </c>
      <c r="N78" t="str">
        <f t="shared" si="7"/>
        <v/>
      </c>
      <c r="O78" t="str">
        <f t="shared" si="8"/>
        <v/>
      </c>
    </row>
    <row r="79" spans="12:15" x14ac:dyDescent="0.35">
      <c r="L79" t="str">
        <f t="shared" si="5"/>
        <v/>
      </c>
      <c r="M79" t="str">
        <f t="shared" si="6"/>
        <v/>
      </c>
      <c r="N79" t="str">
        <f t="shared" si="7"/>
        <v/>
      </c>
      <c r="O79" t="str">
        <f t="shared" si="8"/>
        <v/>
      </c>
    </row>
    <row r="80" spans="12:15" x14ac:dyDescent="0.35">
      <c r="L80" t="str">
        <f t="shared" si="5"/>
        <v/>
      </c>
      <c r="M80" t="str">
        <f t="shared" si="6"/>
        <v/>
      </c>
      <c r="N80" t="str">
        <f t="shared" si="7"/>
        <v/>
      </c>
      <c r="O80" t="str">
        <f t="shared" si="8"/>
        <v/>
      </c>
    </row>
    <row r="81" spans="12:15" x14ac:dyDescent="0.35">
      <c r="L81" t="str">
        <f t="shared" si="5"/>
        <v/>
      </c>
      <c r="M81" t="str">
        <f t="shared" si="6"/>
        <v/>
      </c>
      <c r="N81" t="str">
        <f t="shared" si="7"/>
        <v/>
      </c>
      <c r="O81" t="str">
        <f t="shared" si="8"/>
        <v/>
      </c>
    </row>
    <row r="82" spans="12:15" x14ac:dyDescent="0.35">
      <c r="L82" t="str">
        <f t="shared" si="5"/>
        <v/>
      </c>
      <c r="M82" t="str">
        <f t="shared" si="6"/>
        <v/>
      </c>
      <c r="N82" t="str">
        <f t="shared" si="7"/>
        <v/>
      </c>
      <c r="O82" t="str">
        <f t="shared" si="8"/>
        <v/>
      </c>
    </row>
    <row r="83" spans="12:15" x14ac:dyDescent="0.35">
      <c r="L83" t="str">
        <f t="shared" si="5"/>
        <v/>
      </c>
      <c r="M83" t="str">
        <f t="shared" si="6"/>
        <v/>
      </c>
      <c r="N83" t="str">
        <f t="shared" si="7"/>
        <v/>
      </c>
      <c r="O83" t="str">
        <f t="shared" si="8"/>
        <v/>
      </c>
    </row>
    <row r="84" spans="12:15" x14ac:dyDescent="0.35">
      <c r="L84" t="str">
        <f t="shared" si="5"/>
        <v/>
      </c>
      <c r="M84" t="str">
        <f t="shared" si="6"/>
        <v/>
      </c>
      <c r="N84" t="str">
        <f t="shared" si="7"/>
        <v/>
      </c>
      <c r="O84" t="str">
        <f t="shared" si="8"/>
        <v/>
      </c>
    </row>
    <row r="85" spans="12:15" x14ac:dyDescent="0.35">
      <c r="L85" t="str">
        <f t="shared" si="5"/>
        <v/>
      </c>
      <c r="M85" t="str">
        <f t="shared" si="6"/>
        <v/>
      </c>
      <c r="N85" t="str">
        <f t="shared" si="7"/>
        <v/>
      </c>
      <c r="O85" t="str">
        <f t="shared" si="8"/>
        <v/>
      </c>
    </row>
    <row r="86" spans="12:15" x14ac:dyDescent="0.35">
      <c r="L86" t="str">
        <f t="shared" si="5"/>
        <v/>
      </c>
      <c r="M86" t="str">
        <f t="shared" si="6"/>
        <v/>
      </c>
      <c r="N86" t="str">
        <f t="shared" si="7"/>
        <v/>
      </c>
      <c r="O86" t="str">
        <f t="shared" si="8"/>
        <v/>
      </c>
    </row>
    <row r="87" spans="12:15" x14ac:dyDescent="0.35">
      <c r="L87" t="str">
        <f t="shared" si="5"/>
        <v/>
      </c>
      <c r="M87" t="str">
        <f t="shared" si="6"/>
        <v/>
      </c>
      <c r="N87" t="str">
        <f t="shared" si="7"/>
        <v/>
      </c>
      <c r="O87" t="str">
        <f t="shared" si="8"/>
        <v/>
      </c>
    </row>
    <row r="88" spans="12:15" x14ac:dyDescent="0.35">
      <c r="L88" t="str">
        <f t="shared" si="5"/>
        <v/>
      </c>
      <c r="M88" t="str">
        <f t="shared" si="6"/>
        <v/>
      </c>
      <c r="N88" t="str">
        <f t="shared" si="7"/>
        <v/>
      </c>
      <c r="O88" t="str">
        <f t="shared" si="8"/>
        <v/>
      </c>
    </row>
    <row r="89" spans="12:15" x14ac:dyDescent="0.35">
      <c r="L89" t="str">
        <f t="shared" si="5"/>
        <v/>
      </c>
      <c r="M89" t="str">
        <f t="shared" si="6"/>
        <v/>
      </c>
      <c r="N89" t="str">
        <f t="shared" si="7"/>
        <v/>
      </c>
      <c r="O89" t="str">
        <f t="shared" si="8"/>
        <v/>
      </c>
    </row>
    <row r="90" spans="12:15" x14ac:dyDescent="0.35">
      <c r="L90" t="str">
        <f t="shared" si="5"/>
        <v/>
      </c>
      <c r="M90" t="str">
        <f t="shared" si="6"/>
        <v/>
      </c>
      <c r="N90" t="str">
        <f t="shared" si="7"/>
        <v/>
      </c>
      <c r="O90" t="str">
        <f t="shared" si="8"/>
        <v/>
      </c>
    </row>
    <row r="91" spans="12:15" x14ac:dyDescent="0.35">
      <c r="L91" t="str">
        <f t="shared" si="5"/>
        <v/>
      </c>
      <c r="M91" t="str">
        <f t="shared" si="6"/>
        <v/>
      </c>
      <c r="N91" t="str">
        <f t="shared" si="7"/>
        <v/>
      </c>
      <c r="O91" t="str">
        <f t="shared" si="8"/>
        <v/>
      </c>
    </row>
    <row r="92" spans="12:15" x14ac:dyDescent="0.35">
      <c r="L92" t="str">
        <f t="shared" si="5"/>
        <v/>
      </c>
      <c r="M92" t="str">
        <f t="shared" si="6"/>
        <v/>
      </c>
      <c r="N92" t="str">
        <f t="shared" si="7"/>
        <v/>
      </c>
      <c r="O92" t="str">
        <f t="shared" si="8"/>
        <v/>
      </c>
    </row>
    <row r="93" spans="12:15" x14ac:dyDescent="0.35">
      <c r="L93" t="str">
        <f t="shared" si="5"/>
        <v/>
      </c>
      <c r="M93" t="str">
        <f t="shared" si="6"/>
        <v/>
      </c>
      <c r="N93" t="str">
        <f t="shared" si="7"/>
        <v/>
      </c>
      <c r="O93" t="str">
        <f t="shared" si="8"/>
        <v/>
      </c>
    </row>
    <row r="94" spans="12:15" x14ac:dyDescent="0.35">
      <c r="L94" t="str">
        <f t="shared" si="5"/>
        <v/>
      </c>
      <c r="M94" t="str">
        <f t="shared" si="6"/>
        <v/>
      </c>
      <c r="N94" t="str">
        <f t="shared" si="7"/>
        <v/>
      </c>
      <c r="O94" t="str">
        <f t="shared" si="8"/>
        <v/>
      </c>
    </row>
    <row r="95" spans="12:15" x14ac:dyDescent="0.35">
      <c r="L95" t="str">
        <f t="shared" si="5"/>
        <v/>
      </c>
      <c r="M95" t="str">
        <f t="shared" si="6"/>
        <v/>
      </c>
      <c r="N95" t="str">
        <f t="shared" si="7"/>
        <v/>
      </c>
      <c r="O95" t="str">
        <f t="shared" si="8"/>
        <v/>
      </c>
    </row>
    <row r="96" spans="12:15" x14ac:dyDescent="0.35">
      <c r="L96" t="str">
        <f t="shared" si="5"/>
        <v/>
      </c>
      <c r="M96" t="str">
        <f t="shared" si="6"/>
        <v/>
      </c>
      <c r="N96" t="str">
        <f t="shared" si="7"/>
        <v/>
      </c>
      <c r="O96" t="str">
        <f t="shared" si="8"/>
        <v/>
      </c>
    </row>
    <row r="97" spans="12:15" x14ac:dyDescent="0.35">
      <c r="L97" t="str">
        <f t="shared" si="5"/>
        <v/>
      </c>
      <c r="M97" t="str">
        <f t="shared" si="6"/>
        <v/>
      </c>
      <c r="N97" t="str">
        <f t="shared" si="7"/>
        <v/>
      </c>
      <c r="O97" t="str">
        <f t="shared" si="8"/>
        <v/>
      </c>
    </row>
    <row r="98" spans="12:15" x14ac:dyDescent="0.35">
      <c r="L98" t="str">
        <f t="shared" si="5"/>
        <v/>
      </c>
      <c r="M98" t="str">
        <f t="shared" si="6"/>
        <v/>
      </c>
      <c r="N98" t="str">
        <f t="shared" si="7"/>
        <v/>
      </c>
      <c r="O98" t="str">
        <f t="shared" si="8"/>
        <v/>
      </c>
    </row>
    <row r="99" spans="12:15" x14ac:dyDescent="0.35">
      <c r="L99" t="str">
        <f t="shared" si="5"/>
        <v/>
      </c>
      <c r="M99" t="str">
        <f t="shared" si="6"/>
        <v/>
      </c>
      <c r="N99" t="str">
        <f t="shared" si="7"/>
        <v/>
      </c>
      <c r="O99" t="str">
        <f t="shared" si="8"/>
        <v/>
      </c>
    </row>
    <row r="100" spans="12:15" x14ac:dyDescent="0.35">
      <c r="L100" t="str">
        <f t="shared" si="5"/>
        <v/>
      </c>
      <c r="M100" t="str">
        <f t="shared" si="6"/>
        <v/>
      </c>
      <c r="N100" t="str">
        <f t="shared" si="7"/>
        <v/>
      </c>
      <c r="O100" t="str">
        <f t="shared" si="8"/>
        <v/>
      </c>
    </row>
    <row r="101" spans="12:15" x14ac:dyDescent="0.35">
      <c r="L101" t="str">
        <f t="shared" si="5"/>
        <v/>
      </c>
      <c r="M101" t="str">
        <f t="shared" si="6"/>
        <v/>
      </c>
      <c r="N101" t="str">
        <f t="shared" si="7"/>
        <v/>
      </c>
      <c r="O101" t="str">
        <f t="shared" si="8"/>
        <v/>
      </c>
    </row>
    <row r="102" spans="12:15" x14ac:dyDescent="0.35">
      <c r="L102" t="str">
        <f t="shared" si="5"/>
        <v/>
      </c>
      <c r="M102" t="str">
        <f t="shared" si="6"/>
        <v/>
      </c>
      <c r="N102" t="str">
        <f t="shared" si="7"/>
        <v/>
      </c>
      <c r="O102" t="str">
        <f t="shared" si="8"/>
        <v/>
      </c>
    </row>
    <row r="103" spans="12:15" x14ac:dyDescent="0.35">
      <c r="L103" t="str">
        <f t="shared" si="5"/>
        <v/>
      </c>
      <c r="M103" t="str">
        <f t="shared" si="6"/>
        <v/>
      </c>
      <c r="N103" t="str">
        <f t="shared" si="7"/>
        <v/>
      </c>
      <c r="O103" t="str">
        <f t="shared" si="8"/>
        <v/>
      </c>
    </row>
    <row r="104" spans="12:15" x14ac:dyDescent="0.35">
      <c r="L104" t="str">
        <f t="shared" si="5"/>
        <v/>
      </c>
      <c r="M104" t="str">
        <f t="shared" si="6"/>
        <v/>
      </c>
      <c r="N104" t="str">
        <f t="shared" si="7"/>
        <v/>
      </c>
      <c r="O104" t="str">
        <f t="shared" si="8"/>
        <v/>
      </c>
    </row>
    <row r="105" spans="12:15" x14ac:dyDescent="0.35">
      <c r="L105" t="str">
        <f t="shared" si="5"/>
        <v/>
      </c>
      <c r="M105" t="str">
        <f t="shared" si="6"/>
        <v/>
      </c>
      <c r="N105" t="str">
        <f t="shared" si="7"/>
        <v/>
      </c>
      <c r="O105" t="str">
        <f t="shared" si="8"/>
        <v/>
      </c>
    </row>
    <row r="106" spans="12:15" x14ac:dyDescent="0.35">
      <c r="L106" t="str">
        <f t="shared" si="5"/>
        <v/>
      </c>
      <c r="M106" t="str">
        <f t="shared" si="6"/>
        <v/>
      </c>
      <c r="N106" t="str">
        <f t="shared" si="7"/>
        <v/>
      </c>
      <c r="O106" t="str">
        <f t="shared" si="8"/>
        <v/>
      </c>
    </row>
    <row r="107" spans="12:15" x14ac:dyDescent="0.35">
      <c r="L107" t="str">
        <f t="shared" si="5"/>
        <v/>
      </c>
      <c r="M107" t="str">
        <f t="shared" si="6"/>
        <v/>
      </c>
      <c r="N107" t="str">
        <f t="shared" si="7"/>
        <v/>
      </c>
      <c r="O107" t="str">
        <f t="shared" si="8"/>
        <v/>
      </c>
    </row>
    <row r="108" spans="12:15" x14ac:dyDescent="0.35">
      <c r="L108" t="str">
        <f t="shared" si="5"/>
        <v/>
      </c>
      <c r="M108" t="str">
        <f t="shared" si="6"/>
        <v/>
      </c>
      <c r="N108" t="str">
        <f t="shared" si="7"/>
        <v/>
      </c>
      <c r="O108" t="str">
        <f t="shared" si="8"/>
        <v/>
      </c>
    </row>
  </sheetData>
  <mergeCells count="4">
    <mergeCell ref="L6:O6"/>
    <mergeCell ref="G6:J6"/>
    <mergeCell ref="Q6:AG6"/>
    <mergeCell ref="A6:D6"/>
  </mergeCells>
  <pageMargins left="0.7" right="0.7" top="0.75" bottom="0.75" header="0.3" footer="0.3"/>
  <pageSetup orientation="portrait" verticalDpi="0" r:id="rId4"/>
  <drawing r:id="rId5"/>
  <legacy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167</vt:i4>
      </vt:variant>
    </vt:vector>
  </HeadingPairs>
  <TitlesOfParts>
    <vt:vector size="180" baseType="lpstr">
      <vt:lpstr>Student_Data</vt:lpstr>
      <vt:lpstr>Advisor_Data</vt:lpstr>
      <vt:lpstr>Advisor_Preference_Data</vt:lpstr>
      <vt:lpstr>Course_Conflict_Data_Sheet</vt:lpstr>
      <vt:lpstr>New_Full_Student_Data</vt:lpstr>
      <vt:lpstr>Course_Conflict_Data</vt:lpstr>
      <vt:lpstr>Dashboard</vt:lpstr>
      <vt:lpstr>Add_Students</vt:lpstr>
      <vt:lpstr>Solution_Output</vt:lpstr>
      <vt:lpstr>Student_Matching</vt:lpstr>
      <vt:lpstr>Advisor_Schedule</vt:lpstr>
      <vt:lpstr>General_Stats</vt:lpstr>
      <vt:lpstr>Section_Stats</vt:lpstr>
      <vt:lpstr>Add_Student_Header</vt:lpstr>
      <vt:lpstr>Advisor_Data</vt:lpstr>
      <vt:lpstr>Advisor_Department</vt:lpstr>
      <vt:lpstr>Advisor_Headings</vt:lpstr>
      <vt:lpstr>Advisor_ID</vt:lpstr>
      <vt:lpstr>Advisor_Schedule_Start</vt:lpstr>
      <vt:lpstr>Advisor_Schedule!AdvisorScheduleOutput</vt:lpstr>
      <vt:lpstr>Advisor_Schedule!AdvisorScheduleOutput_1</vt:lpstr>
      <vt:lpstr>Advisor_Schedule!AdvisorScheduleOutput_10</vt:lpstr>
      <vt:lpstr>Advisor_Schedule!AdvisorScheduleOutput_11</vt:lpstr>
      <vt:lpstr>Advisor_Schedule!AdvisorScheduleOutput_12</vt:lpstr>
      <vt:lpstr>Advisor_Schedule!AdvisorScheduleOutput_13</vt:lpstr>
      <vt:lpstr>Advisor_Schedule!AdvisorScheduleOutput_14</vt:lpstr>
      <vt:lpstr>Advisor_Schedule!AdvisorScheduleOutput_15</vt:lpstr>
      <vt:lpstr>Advisor_Schedule!AdvisorScheduleOutput_16</vt:lpstr>
      <vt:lpstr>Advisor_Schedule!AdvisorScheduleOutput_17</vt:lpstr>
      <vt:lpstr>Advisor_Schedule!AdvisorScheduleOutput_18</vt:lpstr>
      <vt:lpstr>Advisor_Schedule!AdvisorScheduleOutput_19</vt:lpstr>
      <vt:lpstr>Advisor_Schedule!AdvisorScheduleOutput_2</vt:lpstr>
      <vt:lpstr>Advisor_Schedule!AdvisorScheduleOutput_20</vt:lpstr>
      <vt:lpstr>Advisor_Schedule!AdvisorScheduleOutput_21</vt:lpstr>
      <vt:lpstr>Advisor_Schedule!AdvisorScheduleOutput_22</vt:lpstr>
      <vt:lpstr>Advisor_Schedule!AdvisorScheduleOutput_23</vt:lpstr>
      <vt:lpstr>Advisor_Schedule!AdvisorScheduleOutput_24</vt:lpstr>
      <vt:lpstr>Advisor_Schedule!AdvisorScheduleOutput_25</vt:lpstr>
      <vt:lpstr>Advisor_Schedule!AdvisorScheduleOutput_26</vt:lpstr>
      <vt:lpstr>Advisor_Schedule!AdvisorScheduleOutput_27</vt:lpstr>
      <vt:lpstr>Advisor_Schedule!AdvisorScheduleOutput_28</vt:lpstr>
      <vt:lpstr>Advisor_Schedule!AdvisorScheduleOutput_29</vt:lpstr>
      <vt:lpstr>Advisor_Schedule!AdvisorScheduleOutput_3</vt:lpstr>
      <vt:lpstr>Advisor_Schedule!AdvisorScheduleOutput_30</vt:lpstr>
      <vt:lpstr>Advisor_Schedule!AdvisorScheduleOutput_31</vt:lpstr>
      <vt:lpstr>Advisor_Schedule!AdvisorScheduleOutput_32</vt:lpstr>
      <vt:lpstr>Advisor_Schedule!AdvisorScheduleOutput_33</vt:lpstr>
      <vt:lpstr>Advisor_Schedule!AdvisorScheduleOutput_34</vt:lpstr>
      <vt:lpstr>Advisor_Schedule!AdvisorScheduleOutput_4</vt:lpstr>
      <vt:lpstr>Advisor_Schedule!AdvisorScheduleOutput_5</vt:lpstr>
      <vt:lpstr>Advisor_Schedule!AdvisorScheduleOutput_6</vt:lpstr>
      <vt:lpstr>Advisor_Schedule!AdvisorScheduleOutput_7</vt:lpstr>
      <vt:lpstr>Advisor_Schedule!AdvisorScheduleOutput_8</vt:lpstr>
      <vt:lpstr>Advisor_Schedule!AdvisorScheduleOutput_9</vt:lpstr>
      <vt:lpstr>Course_Conflict_Data</vt:lpstr>
      <vt:lpstr>Course_Conflict_Headings</vt:lpstr>
      <vt:lpstr>Error_Printing</vt:lpstr>
      <vt:lpstr>Dashboard!ErrorPrint</vt:lpstr>
      <vt:lpstr>Dashboard!ErrorPrint_1</vt:lpstr>
      <vt:lpstr>Dashboard!ErrorPrint_10</vt:lpstr>
      <vt:lpstr>Dashboard!ErrorPrint_15</vt:lpstr>
      <vt:lpstr>Dashboard!ErrorPrint_16</vt:lpstr>
      <vt:lpstr>Dashboard!ErrorPrint_17</vt:lpstr>
      <vt:lpstr>Dashboard!ErrorPrint_18</vt:lpstr>
      <vt:lpstr>Dashboard!ErrorPrint_19</vt:lpstr>
      <vt:lpstr>Dashboard!ErrorPrint_2</vt:lpstr>
      <vt:lpstr>Dashboard!ErrorPrint_20</vt:lpstr>
      <vt:lpstr>Dashboard!ErrorPrint_21</vt:lpstr>
      <vt:lpstr>Dashboard!ErrorPrint_22</vt:lpstr>
      <vt:lpstr>Dashboard!ErrorPrint_23</vt:lpstr>
      <vt:lpstr>Dashboard!ErrorPrint_24</vt:lpstr>
      <vt:lpstr>Dashboard!ErrorPrint_25</vt:lpstr>
      <vt:lpstr>Dashboard!ErrorPrint_26</vt:lpstr>
      <vt:lpstr>Dashboard!ErrorPrint_27</vt:lpstr>
      <vt:lpstr>Dashboard!ErrorPrint_28</vt:lpstr>
      <vt:lpstr>Dashboard!ErrorPrint_29</vt:lpstr>
      <vt:lpstr>Dashboard!ErrorPrint_3</vt:lpstr>
      <vt:lpstr>Dashboard!ErrorPrint_30</vt:lpstr>
      <vt:lpstr>Dashboard!ErrorPrint_31</vt:lpstr>
      <vt:lpstr>Dashboard!ErrorPrint_32</vt:lpstr>
      <vt:lpstr>Dashboard!ErrorPrint_33</vt:lpstr>
      <vt:lpstr>Dashboard!ErrorPrint_34</vt:lpstr>
      <vt:lpstr>Dashboard!ErrorPrint_35</vt:lpstr>
      <vt:lpstr>Dashboard!ErrorPrint_36</vt:lpstr>
      <vt:lpstr>Dashboard!ErrorPrint_37</vt:lpstr>
      <vt:lpstr>Dashboard!ErrorPrint_38</vt:lpstr>
      <vt:lpstr>Dashboard!ErrorPrint_39</vt:lpstr>
      <vt:lpstr>Dashboard!ErrorPrint_4</vt:lpstr>
      <vt:lpstr>Dashboard!ErrorPrint_40</vt:lpstr>
      <vt:lpstr>Dashboard!ErrorPrint_41</vt:lpstr>
      <vt:lpstr>Dashboard!ErrorPrint_42</vt:lpstr>
      <vt:lpstr>Dashboard!ErrorPrint_43</vt:lpstr>
      <vt:lpstr>Dashboard!ErrorPrint_44</vt:lpstr>
      <vt:lpstr>Dashboard!ErrorPrint_46</vt:lpstr>
      <vt:lpstr>Dashboard!ErrorPrint_47</vt:lpstr>
      <vt:lpstr>Dashboard!ErrorPrint_48</vt:lpstr>
      <vt:lpstr>Dashboard!ErrorPrint_49</vt:lpstr>
      <vt:lpstr>Dashboard!ErrorPrint_5</vt:lpstr>
      <vt:lpstr>Dashboard!ErrorPrint_50</vt:lpstr>
      <vt:lpstr>Dashboard!ErrorPrint_51</vt:lpstr>
      <vt:lpstr>Dashboard!ErrorPrint_52</vt:lpstr>
      <vt:lpstr>Dashboard!ErrorPrint_53</vt:lpstr>
      <vt:lpstr>Dashboard!ErrorPrint_6</vt:lpstr>
      <vt:lpstr>Dashboard!ErrorPrint_7</vt:lpstr>
      <vt:lpstr>Dashboard!ErrorPrint_8</vt:lpstr>
      <vt:lpstr>Dashboard!ErrorPrint_9</vt:lpstr>
      <vt:lpstr>Pairing_Department</vt:lpstr>
      <vt:lpstr>Pairing_Request</vt:lpstr>
      <vt:lpstr>Solution_Output!SolutionOutput</vt:lpstr>
      <vt:lpstr>Solution_Output!SolutionOutput_10</vt:lpstr>
      <vt:lpstr>Solution_Output!SolutionOutput_11</vt:lpstr>
      <vt:lpstr>Solution_Output!SolutionOutput_12</vt:lpstr>
      <vt:lpstr>Solution_Output!SolutionOutput_13</vt:lpstr>
      <vt:lpstr>Solution_Output!SolutionOutput_14</vt:lpstr>
      <vt:lpstr>Solution_Output!SolutionOutput_15</vt:lpstr>
      <vt:lpstr>Solution_Output!SolutionOutput_16</vt:lpstr>
      <vt:lpstr>Solution_Output!SolutionOutput_17</vt:lpstr>
      <vt:lpstr>Solution_Output!SolutionOutput_18</vt:lpstr>
      <vt:lpstr>Solution_Output!SolutionOutput_19</vt:lpstr>
      <vt:lpstr>Solution_Output!SolutionOutput_2</vt:lpstr>
      <vt:lpstr>Solution_Output!SolutionOutput_20</vt:lpstr>
      <vt:lpstr>Solution_Output!SolutionOutput_21</vt:lpstr>
      <vt:lpstr>Solution_Output!SolutionOutput_22</vt:lpstr>
      <vt:lpstr>Solution_Output!SolutionOutput_23</vt:lpstr>
      <vt:lpstr>Solution_Output!SolutionOutput_24</vt:lpstr>
      <vt:lpstr>Solution_Output!SolutionOutput_25</vt:lpstr>
      <vt:lpstr>Solution_Output!SolutionOutput_26</vt:lpstr>
      <vt:lpstr>Solution_Output!SolutionOutput_27</vt:lpstr>
      <vt:lpstr>Solution_Output!SolutionOutput_28</vt:lpstr>
      <vt:lpstr>Solution_Output!SolutionOutput_29</vt:lpstr>
      <vt:lpstr>Solution_Output!SolutionOutput_3</vt:lpstr>
      <vt:lpstr>Solution_Output!SolutionOutput_30</vt:lpstr>
      <vt:lpstr>Solution_Output!SolutionOutput_31</vt:lpstr>
      <vt:lpstr>Solution_Output!SolutionOutput_32</vt:lpstr>
      <vt:lpstr>Solution_Output!SolutionOutput_4</vt:lpstr>
      <vt:lpstr>Solution_Output!SolutionOutput_5</vt:lpstr>
      <vt:lpstr>Solution_Output!SolutionOutput_6</vt:lpstr>
      <vt:lpstr>Solution_Output!SolutionOutput_7</vt:lpstr>
      <vt:lpstr>Solution_Output!SolutionOutput_8</vt:lpstr>
      <vt:lpstr>Solution_Output!SolutionOutput_9</vt:lpstr>
      <vt:lpstr>Student_Data</vt:lpstr>
      <vt:lpstr>Student_Headings</vt:lpstr>
      <vt:lpstr>Student_Matching_Start</vt:lpstr>
      <vt:lpstr>Student_Matching!StudentOutput</vt:lpstr>
      <vt:lpstr>Student_Matching!StudentOutput_1</vt:lpstr>
      <vt:lpstr>Student_Matching!StudentOutput_10</vt:lpstr>
      <vt:lpstr>Student_Matching!StudentOutput_11</vt:lpstr>
      <vt:lpstr>Student_Matching!StudentOutput_12</vt:lpstr>
      <vt:lpstr>Student_Matching!StudentOutput_13</vt:lpstr>
      <vt:lpstr>Student_Matching!StudentOutput_14</vt:lpstr>
      <vt:lpstr>Student_Matching!StudentOutput_15</vt:lpstr>
      <vt:lpstr>Student_Matching!StudentOutput_16</vt:lpstr>
      <vt:lpstr>Student_Matching!StudentOutput_17</vt:lpstr>
      <vt:lpstr>Student_Matching!StudentOutput_18</vt:lpstr>
      <vt:lpstr>Student_Matching!StudentOutput_19</vt:lpstr>
      <vt:lpstr>Student_Matching!StudentOutput_2</vt:lpstr>
      <vt:lpstr>Student_Matching!StudentOutput_20</vt:lpstr>
      <vt:lpstr>Student_Matching!StudentOutput_21</vt:lpstr>
      <vt:lpstr>Student_Matching!StudentOutput_22</vt:lpstr>
      <vt:lpstr>Student_Matching!StudentOutput_23</vt:lpstr>
      <vt:lpstr>Student_Matching!StudentOutput_24</vt:lpstr>
      <vt:lpstr>Student_Matching!StudentOutput_25</vt:lpstr>
      <vt:lpstr>Student_Matching!StudentOutput_26</vt:lpstr>
      <vt:lpstr>Student_Matching!StudentOutput_27</vt:lpstr>
      <vt:lpstr>Student_Matching!StudentOutput_28</vt:lpstr>
      <vt:lpstr>Student_Matching!StudentOutput_29</vt:lpstr>
      <vt:lpstr>Student_Matching!StudentOutput_3</vt:lpstr>
      <vt:lpstr>Student_Matching!StudentOutput_30</vt:lpstr>
      <vt:lpstr>Student_Matching!StudentOutput_31</vt:lpstr>
      <vt:lpstr>Student_Matching!StudentOutput_32</vt:lpstr>
      <vt:lpstr>Student_Matching!StudentOutput_33</vt:lpstr>
      <vt:lpstr>Student_Matching!StudentOutput_34</vt:lpstr>
      <vt:lpstr>Student_Matching!StudentOutput_35</vt:lpstr>
      <vt:lpstr>Student_Matching!StudentOutput_36</vt:lpstr>
      <vt:lpstr>Student_Matching!StudentOutput_4</vt:lpstr>
      <vt:lpstr>Student_Matching!StudentOutput_5</vt:lpstr>
      <vt:lpstr>Student_Matching!StudentOutput_6</vt:lpstr>
      <vt:lpstr>Student_Matching!StudentOutput_7</vt:lpstr>
      <vt:lpstr>Student_Matching!StudentOutput_8</vt:lpstr>
      <vt:lpstr>Student_Matching!StudentOutput_9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Gloria D'Azevedo</dc:creator>
  <cp:lastModifiedBy>Gloria D'Azevedo</cp:lastModifiedBy>
  <cp:lastPrinted>2017-04-15T03:53:59Z</cp:lastPrinted>
  <dcterms:created xsi:type="dcterms:W3CDTF">2017-03-30T02:38:47Z</dcterms:created>
  <dcterms:modified xsi:type="dcterms:W3CDTF">2017-05-21T23:47:53Z</dcterms:modified>
</cp:coreProperties>
</file>